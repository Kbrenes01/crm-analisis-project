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bren\Desktop\Documentos U\UNA\Analisis de Datos\R\Proyecto Final\"/>
    </mc:Choice>
  </mc:AlternateContent>
  <xr:revisionPtr revIDLastSave="0" documentId="8_{6541121B-6257-4AAA-9670-BDA83F24288B}" xr6:coauthVersionLast="47" xr6:coauthVersionMax="47" xr10:uidLastSave="{00000000-0000-0000-0000-000000000000}"/>
  <bookViews>
    <workbookView xWindow="11424" yWindow="0" windowWidth="11712" windowHeight="13056" xr2:uid="{26EA7F68-D754-4059-8346-327AF9123B51}"/>
  </bookViews>
  <sheets>
    <sheet name="TblClientes" sheetId="1" r:id="rId1"/>
    <sheet name="TblVentas" sheetId="2" r:id="rId2"/>
    <sheet name="Analisis CRM" sheetId="8" r:id="rId3"/>
    <sheet name="Dashboard" sheetId="4" r:id="rId4"/>
    <sheet name="Analisis Predictivo" sheetId="13" r:id="rId5"/>
  </sheets>
  <definedNames>
    <definedName name="_xlcn.WorksheetConnection_Proyecto.xlsxTabla2" hidden="1">Tabla2[]</definedName>
    <definedName name="_xlcn.WorksheetConnection_Proyecto.xlsxTabla3" hidden="1">Tabla3[]</definedName>
    <definedName name="NativeTimeline_Fecha">#N/A</definedName>
    <definedName name="SegmentaciónDeDatos_Fecha">#N/A</definedName>
    <definedName name="SegmentaciónDeDatos_País">#N/A</definedName>
    <definedName name="SegmentaciónDeDatos_Sector">#N/A</definedName>
    <definedName name="TblClientes">Tabla2[#All]</definedName>
    <definedName name="TblVentas">Tabla3[#All]</definedName>
  </definedNames>
  <calcPr calcId="181029"/>
  <pivotCaches>
    <pivotCache cacheId="0" r:id="rId6"/>
    <pivotCache cacheId="1" r:id="rId7"/>
    <pivotCache cacheId="2" r:id="rId8"/>
  </pivotCaches>
  <extLst>
    <ext xmlns:x14="http://schemas.microsoft.com/office/spreadsheetml/2009/9/main" uri="{876F7934-8845-4945-9796-88D515C7AA90}">
      <x14:pivotCaches>
        <pivotCache cacheId="3" r:id="rId9"/>
      </x14:pivotCaches>
    </ex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3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3" name="Tabla3" connection="WorksheetConnection_Proyecto.xlsx!Tabla3"/>
          <x15:modelTable id="Tabla2" name="Tabla2" connection="WorksheetConnection_Proyecto.xlsx!Tabla2"/>
        </x15:modelTables>
        <x15:modelRelationships>
          <x15:modelRelationship fromTable="Tabla3" fromColumn="ID Cliente" toTable="Tabla2" toColumn="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0CDD96-8B04-42CC-96BB-1B12C75496FD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FFE7C17-D6DE-4DBF-B98E-A8157D346FF7}" name="WorksheetConnection_Proyecto.xlsx!Tabla2" type="102" refreshedVersion="8" minRefreshableVersion="5">
    <extLst>
      <ext xmlns:x15="http://schemas.microsoft.com/office/spreadsheetml/2010/11/main" uri="{DE250136-89BD-433C-8126-D09CA5730AF9}">
        <x15:connection id="Tabla2">
          <x15:rangePr sourceName="_xlcn.WorksheetConnection_Proyecto.xlsxTabla2"/>
        </x15:connection>
      </ext>
    </extLst>
  </connection>
  <connection id="3" xr16:uid="{F5314E84-0E12-42E5-93AB-2B13D76E3827}" name="WorksheetConnection_Proyecto.xlsx!Tabla3" type="102" refreshedVersion="8" minRefreshableVersion="5">
    <extLst>
      <ext xmlns:x15="http://schemas.microsoft.com/office/spreadsheetml/2010/11/main" uri="{DE250136-89BD-433C-8126-D09CA5730AF9}">
        <x15:connection id="Tabla3" autoDelete="1">
          <x15:rangePr sourceName="_xlcn.WorksheetConnection_Proyecto.xlsxTabla3"/>
        </x15:connection>
      </ext>
    </extLst>
  </connection>
</connections>
</file>

<file path=xl/sharedStrings.xml><?xml version="1.0" encoding="utf-8"?>
<sst xmlns="http://schemas.openxmlformats.org/spreadsheetml/2006/main" count="758" uniqueCount="337">
  <si>
    <t>Fecha</t>
  </si>
  <si>
    <t>ID Cliente</t>
  </si>
  <si>
    <t>Región</t>
  </si>
  <si>
    <t>País</t>
  </si>
  <si>
    <t>Producto</t>
  </si>
  <si>
    <t>Cantidad</t>
  </si>
  <si>
    <t>Precio Unitario</t>
  </si>
  <si>
    <t>Monto Total</t>
  </si>
  <si>
    <t>C001</t>
  </si>
  <si>
    <t>GreenMarket Ltd</t>
  </si>
  <si>
    <t>América</t>
  </si>
  <si>
    <t>EE.UU.</t>
  </si>
  <si>
    <t>Alimentos</t>
  </si>
  <si>
    <t>5.00</t>
  </si>
  <si>
    <t>9.00</t>
  </si>
  <si>
    <t>C002</t>
  </si>
  <si>
    <t>SolTech S.A.</t>
  </si>
  <si>
    <t>México</t>
  </si>
  <si>
    <t>Energía</t>
  </si>
  <si>
    <t>C003</t>
  </si>
  <si>
    <t>Oceanic Imports</t>
  </si>
  <si>
    <t>Europa</t>
  </si>
  <si>
    <t>España</t>
  </si>
  <si>
    <t>3.50</t>
  </si>
  <si>
    <t>C004</t>
  </si>
  <si>
    <t>7.50</t>
  </si>
  <si>
    <t>C005</t>
  </si>
  <si>
    <t>Chile</t>
  </si>
  <si>
    <t>Palta Hass</t>
  </si>
  <si>
    <t>Mango Kent</t>
  </si>
  <si>
    <t>1.80</t>
  </si>
  <si>
    <t>C006</t>
  </si>
  <si>
    <t>Asia</t>
  </si>
  <si>
    <t>Japón</t>
  </si>
  <si>
    <t>C007</t>
  </si>
  <si>
    <t>Alemania</t>
  </si>
  <si>
    <t>C008</t>
  </si>
  <si>
    <t>Canadá</t>
  </si>
  <si>
    <t>C009</t>
  </si>
  <si>
    <t>Singapur</t>
  </si>
  <si>
    <t>C010</t>
  </si>
  <si>
    <t>Costa Rica</t>
  </si>
  <si>
    <t>ID</t>
  </si>
  <si>
    <t>Nombre del Cliente</t>
  </si>
  <si>
    <t>Sector</t>
  </si>
  <si>
    <t>Fecha de primer contacto</t>
  </si>
  <si>
    <t>Frecuencia de compra (meses)</t>
  </si>
  <si>
    <t>Tecnología</t>
  </si>
  <si>
    <t>Comercio</t>
  </si>
  <si>
    <t>AndesFresh Export</t>
  </si>
  <si>
    <t>Agroindustria</t>
  </si>
  <si>
    <t>CoffeeWorld GmbH</t>
  </si>
  <si>
    <t>NovaTrading</t>
  </si>
  <si>
    <t>BioHealth Co.</t>
  </si>
  <si>
    <t>Farmacéutico</t>
  </si>
  <si>
    <t>EuroParts SRL</t>
  </si>
  <si>
    <t>Italia</t>
  </si>
  <si>
    <t>Automotriz</t>
  </si>
  <si>
    <t>LatamEnergy</t>
  </si>
  <si>
    <t>Colombia</t>
  </si>
  <si>
    <t>NipponTrade</t>
  </si>
  <si>
    <t>Electrónica</t>
  </si>
  <si>
    <t>C011</t>
  </si>
  <si>
    <t>AgroSoluciones CR</t>
  </si>
  <si>
    <t>C012</t>
  </si>
  <si>
    <t>MedTech Solutions</t>
  </si>
  <si>
    <t>Salud</t>
  </si>
  <si>
    <t>C013</t>
  </si>
  <si>
    <t>Iberico Group</t>
  </si>
  <si>
    <t>C014</t>
  </si>
  <si>
    <t>PacificSea Ltd</t>
  </si>
  <si>
    <t>Perú</t>
  </si>
  <si>
    <t>Pesca</t>
  </si>
  <si>
    <t>C015</t>
  </si>
  <si>
    <t>SkyLogistics</t>
  </si>
  <si>
    <t>Panamá</t>
  </si>
  <si>
    <t>Logística</t>
  </si>
  <si>
    <t>C016</t>
  </si>
  <si>
    <t>NordicFoods</t>
  </si>
  <si>
    <t>Suecia</t>
  </si>
  <si>
    <t>C017</t>
  </si>
  <si>
    <t>TexGlobal</t>
  </si>
  <si>
    <t>Textil</t>
  </si>
  <si>
    <t>C018</t>
  </si>
  <si>
    <t>AndinaMinerals</t>
  </si>
  <si>
    <t>Minería</t>
  </si>
  <si>
    <t>C019</t>
  </si>
  <si>
    <t>CleanPower Corp</t>
  </si>
  <si>
    <t>C020</t>
  </si>
  <si>
    <t>EastAsia Components</t>
  </si>
  <si>
    <t>Corea del Sur</t>
  </si>
  <si>
    <t>C021</t>
  </si>
  <si>
    <t>TropiExport</t>
  </si>
  <si>
    <t>C022</t>
  </si>
  <si>
    <t>GlobalTrade MX</t>
  </si>
  <si>
    <t>C023</t>
  </si>
  <si>
    <t>SwissFoods AG</t>
  </si>
  <si>
    <t>Suiza</t>
  </si>
  <si>
    <t>C024</t>
  </si>
  <si>
    <t>DigitalNova</t>
  </si>
  <si>
    <t>C025</t>
  </si>
  <si>
    <t>SunGrow Asia</t>
  </si>
  <si>
    <t>China</t>
  </si>
  <si>
    <t>C026</t>
  </si>
  <si>
    <t>CaribeSea Export</t>
  </si>
  <si>
    <t>República Dominicana</t>
  </si>
  <si>
    <t>C027</t>
  </si>
  <si>
    <t>AgroAndes SAC</t>
  </si>
  <si>
    <t>C028</t>
  </si>
  <si>
    <t>BioTech Europe</t>
  </si>
  <si>
    <t>Francia</t>
  </si>
  <si>
    <t>C029</t>
  </si>
  <si>
    <t>GlobalParts Inc</t>
  </si>
  <si>
    <t>C030</t>
  </si>
  <si>
    <t>FreshWorld Ltd</t>
  </si>
  <si>
    <t>Reino Unido</t>
  </si>
  <si>
    <t>C031</t>
  </si>
  <si>
    <t>BlueOcean Co.</t>
  </si>
  <si>
    <t>C032</t>
  </si>
  <si>
    <t>AndesCoffee</t>
  </si>
  <si>
    <t>C033</t>
  </si>
  <si>
    <t>SmartTech EU</t>
  </si>
  <si>
    <t>C034</t>
  </si>
  <si>
    <t>CostaMar Export</t>
  </si>
  <si>
    <t>C035</t>
  </si>
  <si>
    <t>SolarVision</t>
  </si>
  <si>
    <t>C036</t>
  </si>
  <si>
    <t>MedSolutions Asia</t>
  </si>
  <si>
    <t>C037</t>
  </si>
  <si>
    <t>AgroPacific</t>
  </si>
  <si>
    <t>Ecuador</t>
  </si>
  <si>
    <t>C038</t>
  </si>
  <si>
    <t>TechLogistics</t>
  </si>
  <si>
    <t>C039</t>
  </si>
  <si>
    <t>OceanExport CR</t>
  </si>
  <si>
    <t>C040</t>
  </si>
  <si>
    <t>Innovatech</t>
  </si>
  <si>
    <t>C041</t>
  </si>
  <si>
    <t>NorthSea Foods</t>
  </si>
  <si>
    <t>Noruega</t>
  </si>
  <si>
    <t>C042</t>
  </si>
  <si>
    <t>FutureEnergy Ltd</t>
  </si>
  <si>
    <t>C043</t>
  </si>
  <si>
    <t>LatamTrading</t>
  </si>
  <si>
    <t>Argentina</t>
  </si>
  <si>
    <t>C044</t>
  </si>
  <si>
    <t>CaribTech</t>
  </si>
  <si>
    <t>C045</t>
  </si>
  <si>
    <t>SmartAgro</t>
  </si>
  <si>
    <t>C046</t>
  </si>
  <si>
    <t>BioPharma EU</t>
  </si>
  <si>
    <t>Bélgica</t>
  </si>
  <si>
    <t>C047</t>
  </si>
  <si>
    <t>GlobalAutoParts</t>
  </si>
  <si>
    <t>C048</t>
  </si>
  <si>
    <t>AndesLogistics</t>
  </si>
  <si>
    <t>C049</t>
  </si>
  <si>
    <t>AgroTrade MX</t>
  </si>
  <si>
    <t>C050</t>
  </si>
  <si>
    <t>SolarGreen EU</t>
  </si>
  <si>
    <t>C051</t>
  </si>
  <si>
    <t>FreshLine</t>
  </si>
  <si>
    <t>C052</t>
  </si>
  <si>
    <t>MedSys America</t>
  </si>
  <si>
    <t>C053</t>
  </si>
  <si>
    <t>EcoEnergy CR</t>
  </si>
  <si>
    <t>C054</t>
  </si>
  <si>
    <t>IberTrade</t>
  </si>
  <si>
    <t>C055</t>
  </si>
  <si>
    <t>BlueTech Asia</t>
  </si>
  <si>
    <t>C056</t>
  </si>
  <si>
    <t>AgroLogistics</t>
  </si>
  <si>
    <t>C057</t>
  </si>
  <si>
    <t>VitaFoods</t>
  </si>
  <si>
    <t>C058</t>
  </si>
  <si>
    <t>CentralExport</t>
  </si>
  <si>
    <t>C059</t>
  </si>
  <si>
    <t>SeaTrade Asia</t>
  </si>
  <si>
    <t>C060</t>
  </si>
  <si>
    <t>AndesEnergy</t>
  </si>
  <si>
    <t>Café orgánico</t>
  </si>
  <si>
    <t>Panel solar</t>
  </si>
  <si>
    <t>1200.00</t>
  </si>
  <si>
    <t>Batería solar</t>
  </si>
  <si>
    <t>800.00</t>
  </si>
  <si>
    <t>Inversor eléctrico</t>
  </si>
  <si>
    <t>900.00</t>
  </si>
  <si>
    <t>Vino tinto reserva</t>
  </si>
  <si>
    <t>15.00</t>
  </si>
  <si>
    <t>Jamón ibérico</t>
  </si>
  <si>
    <t>22.00</t>
  </si>
  <si>
    <t>2.50</t>
  </si>
  <si>
    <t>Uva roja exportación</t>
  </si>
  <si>
    <t>Café tostado</t>
  </si>
  <si>
    <t>6.50</t>
  </si>
  <si>
    <t>Chocolate amargo</t>
  </si>
  <si>
    <t>7.20</t>
  </si>
  <si>
    <t>Artículos varios</t>
  </si>
  <si>
    <t>20.00</t>
  </si>
  <si>
    <t>Componentes eléctricos</t>
  </si>
  <si>
    <t>35.00</t>
  </si>
  <si>
    <t>Medicamento natural</t>
  </si>
  <si>
    <t>25.00</t>
  </si>
  <si>
    <t>Suplemento vitamínico</t>
  </si>
  <si>
    <t>30.00</t>
  </si>
  <si>
    <t>Filtro automotriz</t>
  </si>
  <si>
    <t>18.00</t>
  </si>
  <si>
    <t>Aceite motor</t>
  </si>
  <si>
    <t>Kit solar básico</t>
  </si>
  <si>
    <t>950.00</t>
  </si>
  <si>
    <t>Panel solar 400W</t>
  </si>
  <si>
    <t>Microchip</t>
  </si>
  <si>
    <t>3.00</t>
  </si>
  <si>
    <t>Sensor óptico</t>
  </si>
  <si>
    <t>4.50</t>
  </si>
  <si>
    <t>Fertilizante orgánico</t>
  </si>
  <si>
    <t>12.00</t>
  </si>
  <si>
    <t>Semillas de cacao</t>
  </si>
  <si>
    <t>8.00</t>
  </si>
  <si>
    <t>Equipo médico portátil</t>
  </si>
  <si>
    <t>1300.00</t>
  </si>
  <si>
    <t>Termómetro digital</t>
  </si>
  <si>
    <t>80.00</t>
  </si>
  <si>
    <t>Conservas gourmet</t>
  </si>
  <si>
    <t>Embutidos curados</t>
  </si>
  <si>
    <t>Filete de pescado</t>
  </si>
  <si>
    <t>Camarones</t>
  </si>
  <si>
    <t>Servicio transporte marítimo</t>
  </si>
  <si>
    <t>1500.00</t>
  </si>
  <si>
    <t>Servicio aéreo</t>
  </si>
  <si>
    <t>2500.00</t>
  </si>
  <si>
    <t>Queso artesanal</t>
  </si>
  <si>
    <t>Pan integral</t>
  </si>
  <si>
    <t>4.00</t>
  </si>
  <si>
    <t>Tela de algodón</t>
  </si>
  <si>
    <t>Tela sintética</t>
  </si>
  <si>
    <t>7.00</t>
  </si>
  <si>
    <t>Concentrado mineral</t>
  </si>
  <si>
    <t>600.00</t>
  </si>
  <si>
    <t>Hierro refinado</t>
  </si>
  <si>
    <t>750.00</t>
  </si>
  <si>
    <t>Turbina eólica</t>
  </si>
  <si>
    <t>8500.00</t>
  </si>
  <si>
    <t>Inversor industrial</t>
  </si>
  <si>
    <t>3000.00</t>
  </si>
  <si>
    <t>Chip conductor</t>
  </si>
  <si>
    <t>2.80</t>
  </si>
  <si>
    <t>Sensor térmico</t>
  </si>
  <si>
    <t>3.20</t>
  </si>
  <si>
    <t>Cacao fino</t>
  </si>
  <si>
    <t>6.00</t>
  </si>
  <si>
    <t>Piña golden</t>
  </si>
  <si>
    <t>2.00</t>
  </si>
  <si>
    <t>Ropa deportiva</t>
  </si>
  <si>
    <t>Calzado urbano</t>
  </si>
  <si>
    <t>Chocolate suizo</t>
  </si>
  <si>
    <t>10.00</t>
  </si>
  <si>
    <t>Queso alpino</t>
  </si>
  <si>
    <t>8.50</t>
  </si>
  <si>
    <t>Laptop</t>
  </si>
  <si>
    <t>Tablet</t>
  </si>
  <si>
    <t>Panel solar 300W</t>
  </si>
  <si>
    <t>1100.00</t>
  </si>
  <si>
    <t>Batería industrial</t>
  </si>
  <si>
    <t>Atún premium</t>
  </si>
  <si>
    <t>4.20</t>
  </si>
  <si>
    <t>Camarón congelado</t>
  </si>
  <si>
    <t>Suero médico</t>
  </si>
  <si>
    <t>Guantes quirúrgicos</t>
  </si>
  <si>
    <t>Filtro aire</t>
  </si>
  <si>
    <t>Pastillas freno</t>
  </si>
  <si>
    <t>Pan artesanal</t>
  </si>
  <si>
    <t>Queso cheddar</t>
  </si>
  <si>
    <t>Filete de atún</t>
  </si>
  <si>
    <t>Pescado seco</t>
  </si>
  <si>
    <t>5.50</t>
  </si>
  <si>
    <t>Café verde</t>
  </si>
  <si>
    <t>Servidor industrial</t>
  </si>
  <si>
    <t>2800.00</t>
  </si>
  <si>
    <t>Souvenir corporativo</t>
  </si>
  <si>
    <t>Equipo promocional</t>
  </si>
  <si>
    <t>Equipo diagnóstico</t>
  </si>
  <si>
    <t>70.00</t>
  </si>
  <si>
    <t>Uva roja</t>
  </si>
  <si>
    <t>1.50</t>
  </si>
  <si>
    <t>Banano orgánico</t>
  </si>
  <si>
    <t>1.20</t>
  </si>
  <si>
    <t>Envío marítimo</t>
  </si>
  <si>
    <t>1600.00</t>
  </si>
  <si>
    <t>Envío aéreo</t>
  </si>
  <si>
    <t>Atún fresco</t>
  </si>
  <si>
    <t>Langosta</t>
  </si>
  <si>
    <t>1150.00</t>
  </si>
  <si>
    <t>Monitor LED</t>
  </si>
  <si>
    <t>350.00</t>
  </si>
  <si>
    <t>Pescado ahumado</t>
  </si>
  <si>
    <t>Caviar</t>
  </si>
  <si>
    <t>9000.00</t>
  </si>
  <si>
    <t>Ropa casual</t>
  </si>
  <si>
    <t>Calzado deportivo</t>
  </si>
  <si>
    <t>Equipo electrónico</t>
  </si>
  <si>
    <t>700.00</t>
  </si>
  <si>
    <t>Smartphone</t>
  </si>
  <si>
    <t>Medicamento</t>
  </si>
  <si>
    <t>40.00</t>
  </si>
  <si>
    <t>Kit quirúrgico</t>
  </si>
  <si>
    <t>120.00</t>
  </si>
  <si>
    <t>Transporte terrestre</t>
  </si>
  <si>
    <t>Yogurt artesanal</t>
  </si>
  <si>
    <t>Queso fresco</t>
  </si>
  <si>
    <t>Kit diagnóstico</t>
  </si>
  <si>
    <t>Aceite de oliva</t>
  </si>
  <si>
    <t>Embutido gourmet</t>
  </si>
  <si>
    <t>Transporte marítimo</t>
  </si>
  <si>
    <t>Transporte aéreo</t>
  </si>
  <si>
    <t>Queso suizo</t>
  </si>
  <si>
    <t>Material promocional</t>
  </si>
  <si>
    <t>Turbina solar</t>
  </si>
  <si>
    <t>Panel industrial</t>
  </si>
  <si>
    <t>Etiquetas de fila</t>
  </si>
  <si>
    <t>Total general</t>
  </si>
  <si>
    <t>abr</t>
  </si>
  <si>
    <t>jun</t>
  </si>
  <si>
    <t>jul</t>
  </si>
  <si>
    <t>ago</t>
  </si>
  <si>
    <t>sept</t>
  </si>
  <si>
    <t>may</t>
  </si>
  <si>
    <t>Suma de Monto Total</t>
  </si>
  <si>
    <t>2023</t>
  </si>
  <si>
    <t xml:space="preserve">Ventas por Pais </t>
  </si>
  <si>
    <t>Ventas Mensuales</t>
  </si>
  <si>
    <t>Ventas por sector</t>
  </si>
  <si>
    <t>Ventas por Sector</t>
  </si>
  <si>
    <t xml:space="preserve">Ventas por País y Cliente </t>
  </si>
  <si>
    <t xml:space="preserve">Analisis Graficos </t>
  </si>
  <si>
    <t>Segmentadores</t>
  </si>
  <si>
    <t>Evolucion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</si>
</sst>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₡&quot;* #,##0.00_-;\-&quot;₡&quot;* #,##0.00_-;_-&quot;₡&quot;* &quot;-&quot;??_-;_-@_-"/>
    <numFmt numFmtId="164" formatCode="_-[$$-540A]* #,##0.00_ ;_-[$$-540A]* \-#,##0.00\ ;_-[$$-540A]* &quot;-&quot;??_ ;_-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Baskerville Old Face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0" fillId="0" borderId="0" xfId="1" applyNumberFormat="1" applyFont="1" applyAlignment="1">
      <alignment vertical="center" wrapText="1"/>
    </xf>
    <xf numFmtId="9" fontId="0" fillId="0" borderId="0" xfId="2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 indent="2"/>
    </xf>
    <xf numFmtId="0" fontId="4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17">
    <dxf>
      <alignment horizontal="general" vertical="center" textRotation="0" wrapText="1" indent="0" justifyLastLine="0" shrinkToFit="0" readingOrder="0"/>
    </dxf>
    <dxf>
      <numFmt numFmtId="164" formatCode="_-[$$-540A]* #,##0.00_ ;_-[$$-540A]* \-#,##0.00\ ;_-[$$-540A]* &quot;-&quot;??_ ;_-@_ 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/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/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microsoft.com/office/2011/relationships/timelineCache" Target="timelineCaches/timelineCache1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07/relationships/slicerCache" Target="slicerCaches/slicerCache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[CRM_Datos.xlsx]Analisis CRM!TablaDinámica2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País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'Analisis CRM'!$B$3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'Analisis CRM'!$A$4:$A$28</c:f>
              <c:strCache>
                <c:ptCount val="24"/>
                <c:pt idx="0">
                  <c:v>Alemania</c:v>
                </c:pt>
                <c:pt idx="1">
                  <c:v>Argentina</c:v>
                </c:pt>
                <c:pt idx="2">
                  <c:v>Bélgica</c:v>
                </c:pt>
                <c:pt idx="3">
                  <c:v>Canadá</c:v>
                </c:pt>
                <c:pt idx="4">
                  <c:v>Chile</c:v>
                </c:pt>
                <c:pt idx="5">
                  <c:v>China</c:v>
                </c:pt>
                <c:pt idx="6">
                  <c:v>Colombia</c:v>
                </c:pt>
                <c:pt idx="7">
                  <c:v>Corea del Sur</c:v>
                </c:pt>
                <c:pt idx="8">
                  <c:v>Costa Rica</c:v>
                </c:pt>
                <c:pt idx="9">
                  <c:v>Ecuador</c:v>
                </c:pt>
                <c:pt idx="10">
                  <c:v>EE.UU.</c:v>
                </c:pt>
                <c:pt idx="11">
                  <c:v>España</c:v>
                </c:pt>
                <c:pt idx="12">
                  <c:v>Francia</c:v>
                </c:pt>
                <c:pt idx="13">
                  <c:v>Italia</c:v>
                </c:pt>
                <c:pt idx="14">
                  <c:v>Japón</c:v>
                </c:pt>
                <c:pt idx="15">
                  <c:v>México</c:v>
                </c:pt>
                <c:pt idx="16">
                  <c:v>Noruega</c:v>
                </c:pt>
                <c:pt idx="17">
                  <c:v>Panamá</c:v>
                </c:pt>
                <c:pt idx="18">
                  <c:v>Perú</c:v>
                </c:pt>
                <c:pt idx="19">
                  <c:v>Reino Unido</c:v>
                </c:pt>
                <c:pt idx="20">
                  <c:v>República Dominicana</c:v>
                </c:pt>
                <c:pt idx="21">
                  <c:v>Singapur</c:v>
                </c:pt>
                <c:pt idx="22">
                  <c:v>Suecia</c:v>
                </c:pt>
                <c:pt idx="23">
                  <c:v>Suiza</c:v>
                </c:pt>
              </c:strCache>
            </c:strRef>
          </c:cat>
          <c:val>
            <c:numRef>
              <c:f>'Analisis CRM'!$B$4:$B$28</c:f>
              <c:numCache>
                <c:formatCode>General</c:formatCode>
                <c:ptCount val="24"/>
                <c:pt idx="0">
                  <c:v>15175</c:v>
                </c:pt>
                <c:pt idx="1">
                  <c:v>3900</c:v>
                </c:pt>
                <c:pt idx="2">
                  <c:v>4400</c:v>
                </c:pt>
                <c:pt idx="3">
                  <c:v>16900</c:v>
                </c:pt>
                <c:pt idx="4">
                  <c:v>55840</c:v>
                </c:pt>
                <c:pt idx="5">
                  <c:v>9450</c:v>
                </c:pt>
                <c:pt idx="6">
                  <c:v>20370</c:v>
                </c:pt>
                <c:pt idx="7">
                  <c:v>7410</c:v>
                </c:pt>
                <c:pt idx="8">
                  <c:v>19830</c:v>
                </c:pt>
                <c:pt idx="9">
                  <c:v>750</c:v>
                </c:pt>
                <c:pt idx="10">
                  <c:v>40180</c:v>
                </c:pt>
                <c:pt idx="11">
                  <c:v>13470</c:v>
                </c:pt>
                <c:pt idx="12">
                  <c:v>10800</c:v>
                </c:pt>
                <c:pt idx="13">
                  <c:v>2280</c:v>
                </c:pt>
                <c:pt idx="14">
                  <c:v>16475</c:v>
                </c:pt>
                <c:pt idx="15">
                  <c:v>23150</c:v>
                </c:pt>
                <c:pt idx="16">
                  <c:v>1550</c:v>
                </c:pt>
                <c:pt idx="17">
                  <c:v>16150</c:v>
                </c:pt>
                <c:pt idx="18">
                  <c:v>2050</c:v>
                </c:pt>
                <c:pt idx="19">
                  <c:v>16600</c:v>
                </c:pt>
                <c:pt idx="20">
                  <c:v>14300</c:v>
                </c:pt>
                <c:pt idx="21">
                  <c:v>4750</c:v>
                </c:pt>
                <c:pt idx="22">
                  <c:v>1500</c:v>
                </c:pt>
                <c:pt idx="23">
                  <c:v>3275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F-4B1D-AE46-2F179DD57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1394016"/>
        <c:axId val="791396896"/>
      </c:barChart>
      <c:catAx>
        <c:axId val="791394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91396896"/>
        <c:crosses val="autoZero"/>
        <c:auto val="1"/>
        <c:lblAlgn val="ctr"/>
        <c:lblOffset val="100"/>
        <c:noMultiLvlLbl val="0"/>
      </c:catAx>
      <c:valAx>
        <c:axId val="79139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9139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[CRM_Datos.xlsx]Analisis CRM!TablaDinámica5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'Analisis CRM'!$E$3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'Analisis CRM'!$D$4:$D$17</c:f>
              <c:strCache>
                <c:ptCount val="13"/>
                <c:pt idx="0">
                  <c:v>Agroindustria</c:v>
                </c:pt>
                <c:pt idx="1">
                  <c:v>Alimentos</c:v>
                </c:pt>
                <c:pt idx="2">
                  <c:v>Automotriz</c:v>
                </c:pt>
                <c:pt idx="3">
                  <c:v>Comercio</c:v>
                </c:pt>
                <c:pt idx="4">
                  <c:v>Electrónica</c:v>
                </c:pt>
                <c:pt idx="5">
                  <c:v>Energía</c:v>
                </c:pt>
                <c:pt idx="6">
                  <c:v>Farmacéutico</c:v>
                </c:pt>
                <c:pt idx="7">
                  <c:v>Logística</c:v>
                </c:pt>
                <c:pt idx="8">
                  <c:v>Minería</c:v>
                </c:pt>
                <c:pt idx="9">
                  <c:v>Pesca</c:v>
                </c:pt>
                <c:pt idx="10">
                  <c:v>Salud</c:v>
                </c:pt>
                <c:pt idx="11">
                  <c:v>Tecnología</c:v>
                </c:pt>
                <c:pt idx="12">
                  <c:v>Textil</c:v>
                </c:pt>
              </c:strCache>
            </c:strRef>
          </c:cat>
          <c:val>
            <c:numRef>
              <c:f>'Analisis CRM'!$E$4:$E$17</c:f>
              <c:numCache>
                <c:formatCode>General</c:formatCode>
                <c:ptCount val="13"/>
                <c:pt idx="0">
                  <c:v>9670</c:v>
                </c:pt>
                <c:pt idx="1">
                  <c:v>14100</c:v>
                </c:pt>
                <c:pt idx="2">
                  <c:v>8110</c:v>
                </c:pt>
                <c:pt idx="3">
                  <c:v>20920</c:v>
                </c:pt>
                <c:pt idx="4">
                  <c:v>12840</c:v>
                </c:pt>
                <c:pt idx="5">
                  <c:v>98550</c:v>
                </c:pt>
                <c:pt idx="6">
                  <c:v>3250</c:v>
                </c:pt>
                <c:pt idx="7">
                  <c:v>34100</c:v>
                </c:pt>
                <c:pt idx="8">
                  <c:v>16500</c:v>
                </c:pt>
                <c:pt idx="9">
                  <c:v>6465</c:v>
                </c:pt>
                <c:pt idx="10">
                  <c:v>23650</c:v>
                </c:pt>
                <c:pt idx="11">
                  <c:v>70050</c:v>
                </c:pt>
                <c:pt idx="12">
                  <c:v>2350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A-4646-92B3-77B24359E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1600720"/>
        <c:axId val="1121599760"/>
      </c:barChart>
      <c:catAx>
        <c:axId val="112160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121599760"/>
        <c:crosses val="autoZero"/>
        <c:auto val="1"/>
        <c:lblAlgn val="ctr"/>
        <c:lblOffset val="100"/>
        <c:noMultiLvlLbl val="0"/>
      </c:catAx>
      <c:valAx>
        <c:axId val="112159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12160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[CRM_Datos.xlsx]Analisis CRM!TablaDinámica6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Mensuales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tx1">
                <a:lumMod val="85000"/>
                <a:lumOff val="1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'Analisis CRM'!$H$3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'Analisis CRM'!$G$4:$G$15</c:f>
              <c:multiLvlStrCache>
                <c:ptCount val="7"/>
                <c:lvl>
                  <c:pt idx="3">
                    <c:v>6/7/2023</c:v>
                  </c:pt>
                  <c:pt idx="4">
                    <c:v>10/7/2023</c:v>
                  </c:pt>
                  <c:pt idx="5">
                    <c:v>15/8/2023</c:v>
                  </c:pt>
                  <c:pt idx="6">
                    <c:v>20/9/2023</c:v>
                  </c:pt>
                </c:lvl>
                <c:lvl>
                  <c:pt idx="0">
                    <c:v>abr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5">
                    <c:v>ago</c:v>
                  </c:pt>
                  <c:pt idx="6">
                    <c:v>sept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'Analisis CRM'!$H$4:$H$15</c:f>
              <c:numCache>
                <c:formatCode>General</c:formatCode>
                <c:ptCount val="7"/>
                <c:pt idx="0">
                  <c:v>58955</c:v>
                </c:pt>
                <c:pt idx="1">
                  <c:v>70345</c:v>
                </c:pt>
                <c:pt idx="2">
                  <c:v>2700</c:v>
                </c:pt>
                <c:pt idx="3">
                  <c:v>1500</c:v>
                </c:pt>
                <c:pt idx="4">
                  <c:v>5340</c:v>
                </c:pt>
                <c:pt idx="5">
                  <c:v>1170</c:v>
                </c:pt>
                <c:pt idx="6">
                  <c:v>1080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59-4041-9A94-E2FA99BC0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3869168"/>
        <c:axId val="994583456"/>
      </c:lineChart>
      <c:catAx>
        <c:axId val="166386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994583456"/>
        <c:crosses val="autoZero"/>
        <c:auto val="1"/>
        <c:lblAlgn val="ctr"/>
        <c:lblOffset val="100"/>
        <c:noMultiLvlLbl val="0"/>
      </c:catAx>
      <c:valAx>
        <c:axId val="99458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66386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[CRM_Datos.xlsx]Analisis Predictivo!TablaDinámica8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Evolucion</a:t>
            </a:r>
            <a:r>
              <a:rPr lang="es-CR" baseline="0"/>
              <a:t> Mensual</a:t>
            </a:r>
            <a:endParaRPr lang="es-C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'Analisis Predictivo'!$B$3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3"/>
            <c:dispRSqr val="1"/>
            <c:dispEq val="1"/>
            <c:trendlineLbl>
              <c:layout>
                <c:manualLayout>
                  <c:x val="0.24426662350230094"/>
                  <c:y val="-2.28947017216068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cat>
            <c:multiLvlStrRef>
              <c:f>'Analisis Predictivo'!$A$4:$A$11</c:f>
              <c:multiLvlStrCache>
                <c:ptCount val="6"/>
                <c:lvl>
                  <c:pt idx="0">
                    <c:v>abr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ago</c:v>
                  </c:pt>
                  <c:pt idx="5">
                    <c:v>sept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'Analisis Predictivo'!$B$4:$B$11</c:f>
              <c:numCache>
                <c:formatCode>General</c:formatCode>
                <c:ptCount val="6"/>
                <c:pt idx="0">
                  <c:v>58955</c:v>
                </c:pt>
                <c:pt idx="1">
                  <c:v>70345</c:v>
                </c:pt>
                <c:pt idx="2">
                  <c:v>2700</c:v>
                </c:pt>
                <c:pt idx="3">
                  <c:v>6840</c:v>
                </c:pt>
                <c:pt idx="4">
                  <c:v>1170</c:v>
                </c:pt>
                <c:pt idx="5">
                  <c:v>1080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6E-4A87-B0C0-BA0274408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0656192"/>
        <c:axId val="790639872"/>
      </c:lineChart>
      <c:catAx>
        <c:axId val="79065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90639872"/>
        <c:crosses val="autoZero"/>
        <c:auto val="1"/>
        <c:lblAlgn val="ctr"/>
        <c:lblOffset val="100"/>
        <c:noMultiLvlLbl val="0"/>
      </c:catAx>
      <c:valAx>
        <c:axId val="79063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9065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[CRM_Datos.xlsx]Analisis Predictivo!TablaDinámica8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Evolucion</a:t>
            </a:r>
            <a:r>
              <a:rPr lang="es-CR" baseline="0"/>
              <a:t> Mensual</a:t>
            </a:r>
            <a:endParaRPr lang="es-C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'Analisis Predictivo'!$B$3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3"/>
            <c:dispRSqr val="1"/>
            <c:dispEq val="1"/>
            <c:trendlineLbl>
              <c:layout>
                <c:manualLayout>
                  <c:x val="0.24426662350230094"/>
                  <c:y val="-2.28947017216068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cat>
            <c:multiLvlStrRef>
              <c:f>'Analisis Predictivo'!$A$4:$A$11</c:f>
              <c:multiLvlStrCache>
                <c:ptCount val="6"/>
                <c:lvl>
                  <c:pt idx="0">
                    <c:v>abr</c:v>
                  </c:pt>
                  <c:pt idx="1">
                    <c:v>may</c:v>
                  </c:pt>
                  <c:pt idx="2">
                    <c:v>jun</c:v>
                  </c:pt>
                  <c:pt idx="3">
                    <c:v>jul</c:v>
                  </c:pt>
                  <c:pt idx="4">
                    <c:v>ago</c:v>
                  </c:pt>
                  <c:pt idx="5">
                    <c:v>sept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'Analisis Predictivo'!$B$4:$B$11</c:f>
              <c:numCache>
                <c:formatCode>General</c:formatCode>
                <c:ptCount val="6"/>
                <c:pt idx="0">
                  <c:v>58955</c:v>
                </c:pt>
                <c:pt idx="1">
                  <c:v>70345</c:v>
                </c:pt>
                <c:pt idx="2">
                  <c:v>2700</c:v>
                </c:pt>
                <c:pt idx="3">
                  <c:v>6840</c:v>
                </c:pt>
                <c:pt idx="4">
                  <c:v>1170</c:v>
                </c:pt>
                <c:pt idx="5">
                  <c:v>1080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7D-48E1-8176-7F2D7D8EA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0656192"/>
        <c:axId val="790639872"/>
      </c:lineChart>
      <c:catAx>
        <c:axId val="79065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90639872"/>
        <c:crosses val="autoZero"/>
        <c:auto val="1"/>
        <c:lblAlgn val="ctr"/>
        <c:lblOffset val="100"/>
        <c:noMultiLvlLbl val="0"/>
      </c:catAx>
      <c:valAx>
        <c:axId val="79063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79065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713945</xdr:colOff>
      <xdr:row>15</xdr:row>
      <xdr:rowOff>89244</xdr:rowOff>
    </xdr:from>
    <xdr:to>
      <xdr:col>12</xdr:col>
      <xdr:colOff>190602</xdr:colOff>
      <xdr:row>24</xdr:row>
      <xdr:rowOff>177277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Fecha 1">
              <a:extLst>
                <a:ext uri="{FF2B5EF4-FFF2-40B4-BE49-F238E27FC236}">
                  <a16:creationId xmlns:a16="http://schemas.microsoft.com/office/drawing/2014/main" id="{EF913D08-EA18-47F2-BD36-0DA50B463F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81513" y="2869514"/>
              <a:ext cx="3513197" cy="17561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268941</xdr:colOff>
      <xdr:row>11</xdr:row>
      <xdr:rowOff>7620</xdr:rowOff>
    </xdr:from>
    <xdr:to>
      <xdr:col>7</xdr:col>
      <xdr:colOff>528021</xdr:colOff>
      <xdr:row>30</xdr:row>
      <xdr:rowOff>-1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586A145-D888-405E-9F7E-F7A576D4DC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776344</xdr:colOff>
      <xdr:row>11</xdr:row>
      <xdr:rowOff>19274</xdr:rowOff>
    </xdr:from>
    <xdr:to>
      <xdr:col>14</xdr:col>
      <xdr:colOff>677284</xdr:colOff>
      <xdr:row>29</xdr:row>
      <xdr:rowOff>175708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D84F525-D9CB-45D3-8F47-1DF3DD74D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246599</xdr:colOff>
      <xdr:row>39</xdr:row>
      <xdr:rowOff>151021</xdr:rowOff>
    </xdr:from>
    <xdr:to>
      <xdr:col>8</xdr:col>
      <xdr:colOff>635219</xdr:colOff>
      <xdr:row>61</xdr:row>
      <xdr:rowOff>108887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D15AC8C-CA08-45CE-B0A2-7CFB80B69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7</xdr:row>
      <xdr:rowOff>116541</xdr:rowOff>
    </xdr:from>
    <xdr:to>
      <xdr:col>18</xdr:col>
      <xdr:colOff>251012</xdr:colOff>
      <xdr:row>21</xdr:row>
      <xdr:rowOff>73399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País">
              <a:extLst>
                <a:ext uri="{FF2B5EF4-FFF2-40B4-BE49-F238E27FC236}">
                  <a16:creationId xmlns:a16="http://schemas.microsoft.com/office/drawing/2014/main" id="{1CA461F2-5F54-435D-A6CF-5D94AF2273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í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54545" y="1377305"/>
              <a:ext cx="1830431" cy="24783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0</xdr:colOff>
      <xdr:row>22</xdr:row>
      <xdr:rowOff>0</xdr:rowOff>
    </xdr:from>
    <xdr:to>
      <xdr:col>18</xdr:col>
      <xdr:colOff>251012</xdr:colOff>
      <xdr:row>35</xdr:row>
      <xdr:rowOff>136152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Sector">
              <a:extLst>
                <a:ext uri="{FF2B5EF4-FFF2-40B4-BE49-F238E27FC236}">
                  <a16:creationId xmlns:a16="http://schemas.microsoft.com/office/drawing/2014/main" id="{FC6A0CC1-FACF-4B13-9686-9CF42AA0241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ct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854545" y="3962400"/>
              <a:ext cx="1830431" cy="2477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569258</xdr:colOff>
      <xdr:row>7</xdr:row>
      <xdr:rowOff>114299</xdr:rowOff>
    </xdr:from>
    <xdr:to>
      <xdr:col>21</xdr:col>
      <xdr:colOff>31375</xdr:colOff>
      <xdr:row>21</xdr:row>
      <xdr:rowOff>71157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Fecha">
              <a:extLst>
                <a:ext uri="{FF2B5EF4-FFF2-40B4-BE49-F238E27FC236}">
                  <a16:creationId xmlns:a16="http://schemas.microsoft.com/office/drawing/2014/main" id="{FC1CA2E1-3D1B-4BEB-850A-5947384571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074301" y="1428473"/>
              <a:ext cx="1847509" cy="25852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9</xdr:col>
      <xdr:colOff>691661</xdr:colOff>
      <xdr:row>39</xdr:row>
      <xdr:rowOff>93784</xdr:rowOff>
    </xdr:from>
    <xdr:to>
      <xdr:col>17</xdr:col>
      <xdr:colOff>105506</xdr:colOff>
      <xdr:row>61</xdr:row>
      <xdr:rowOff>58615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F876DDB-8472-43BA-8F3C-448682AE0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396240</xdr:colOff>
      <xdr:row>2</xdr:row>
      <xdr:rowOff>22860</xdr:rowOff>
    </xdr:from>
    <xdr:to>
      <xdr:col>9</xdr:col>
      <xdr:colOff>594360</xdr:colOff>
      <xdr:row>19</xdr:row>
      <xdr:rowOff>60960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96E9A25-CAA8-C846-7A71-B77FAF2F9F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vin BRENES" refreshedDate="45971.499311458334" createdVersion="8" refreshedVersion="8" minRefreshableVersion="3" recordCount="122" xr:uid="{E6C2F7CA-5D98-40D1-A8B1-563358037A38}">
  <cacheSource type="worksheet">
    <worksheetSource name="Tabla3"/>
  </cacheSource>
  <cacheFields count="8">
    <cacheField name="Fecha" numFmtId="14">
      <sharedItems containsSemiMixedTypes="0" containsNonDate="0" containsDate="1" containsString="0" minDate="2023-01-02T00:00:00" maxDate="2023-09-21T00:00:00" count="54">
        <d v="2023-01-05T00:00:00"/>
        <d v="2023-02-10T00:00:00"/>
        <d v="2023-03-05T00:00:00"/>
        <d v="2023-01-10T00:00:00"/>
        <d v="2023-03-12T00:00:00"/>
        <d v="2023-04-05T00:00:00"/>
        <d v="2023-02-01T00:00:00"/>
        <d v="2023-04-10T00:00:00"/>
        <d v="2023-06-05T00:00:00"/>
        <d v="2023-07-10T00:00:00"/>
        <d v="2023-08-15T00:00:00"/>
        <d v="2023-09-20T00:00:00"/>
        <d v="2023-02-02T00:00:00"/>
        <d v="2023-04-04T00:00:00"/>
        <d v="2023-05-05T00:00:00"/>
        <d v="2023-07-06T00:00:00"/>
        <d v="2023-03-01T00:00:00"/>
        <d v="2023-05-15T00:00:00"/>
        <d v="2023-04-12T00:00:00"/>
        <d v="2023-01-02T00:00:00"/>
        <d v="2023-04-08T00:00:00"/>
        <d v="2023-06-09T00:00:00"/>
        <d v="2023-02-11T00:00:00"/>
        <d v="2023-04-13T00:00:00"/>
        <d v="2023-03-06T00:00:00"/>
        <d v="2023-02-08T00:00:00"/>
        <d v="2023-03-09T00:00:00"/>
        <d v="2023-04-02T00:00:00"/>
        <d v="2023-06-10T00:00:00"/>
        <d v="2023-05-06T00:00:00"/>
        <d v="2023-02-07T00:00:00"/>
        <d v="2023-04-11T00:00:00"/>
        <d v="2023-02-03T00:00:00"/>
        <d v="2023-05-04T00:00:00"/>
        <d v="2023-02-09T00:00:00"/>
        <d v="2023-03-11T00:00:00"/>
        <d v="2023-04-09T00:00:00"/>
        <d v="2023-03-02T00:00:00"/>
        <d v="2023-05-07T00:00:00"/>
        <d v="2023-05-08T00:00:00"/>
        <d v="2023-02-06T00:00:00"/>
        <d v="2023-04-07T00:00:00"/>
        <d v="2023-03-10T00:00:00"/>
        <d v="2023-05-12T00:00:00"/>
        <d v="2023-02-04T00:00:00"/>
        <d v="2023-05-11T00:00:00"/>
        <d v="2023-03-07T00:00:00"/>
        <d v="2023-02-05T00:00:00"/>
        <d v="2023-01-03T00:00:00"/>
        <d v="2023-01-08T00:00:00"/>
        <d v="2023-03-08T00:00:00"/>
        <d v="2023-05-09T00:00:00"/>
        <d v="2023-04-06T00:00:00"/>
        <d v="2023-05-10T00:00:00"/>
      </sharedItems>
      <fieldGroup par="7"/>
    </cacheField>
    <cacheField name="ID Cliente" numFmtId="0">
      <sharedItems count="60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  <s v="C019"/>
        <s v="C020"/>
        <s v="C021"/>
        <s v="C022"/>
        <s v="C023"/>
        <s v="C024"/>
        <s v="C025"/>
        <s v="C026"/>
        <s v="C027"/>
        <s v="C028"/>
        <s v="C029"/>
        <s v="C030"/>
        <s v="C031"/>
        <s v="C032"/>
        <s v="C033"/>
        <s v="C034"/>
        <s v="C035"/>
        <s v="C036"/>
        <s v="C037"/>
        <s v="C038"/>
        <s v="C039"/>
        <s v="C040"/>
        <s v="C041"/>
        <s v="C042"/>
        <s v="C043"/>
        <s v="C044"/>
        <s v="C045"/>
        <s v="C046"/>
        <s v="C047"/>
        <s v="C048"/>
        <s v="C049"/>
        <s v="C050"/>
        <s v="C051"/>
        <s v="C052"/>
        <s v="C053"/>
        <s v="C054"/>
        <s v="C055"/>
        <s v="C056"/>
        <s v="C057"/>
        <s v="C058"/>
        <s v="C059"/>
        <s v="C060"/>
      </sharedItems>
    </cacheField>
    <cacheField name="Producto" numFmtId="0">
      <sharedItems/>
    </cacheField>
    <cacheField name="Cantidad" numFmtId="0">
      <sharedItems containsSemiMixedTypes="0" containsString="0" containsNumber="1" containsInteger="1" minValue="1" maxValue="1500"/>
    </cacheField>
    <cacheField name="Precio Unitario" numFmtId="0">
      <sharedItems/>
    </cacheField>
    <cacheField name="Monto Total" numFmtId="0">
      <sharedItems containsSemiMixedTypes="0" containsString="0" containsNumber="1" containsInteger="1" minValue="300" maxValue="17000"/>
    </cacheField>
    <cacheField name="Meses (Fecha)" numFmtId="0" databaseField="0">
      <fieldGroup base="0">
        <rangePr groupBy="months" startDate="2023-01-02T00:00:00" endDate="2023-09-21T00:00:00"/>
        <groupItems count="14">
          <s v="&lt;2/1/2023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1/9/2023"/>
        </groupItems>
      </fieldGroup>
    </cacheField>
    <cacheField name="Años (Fecha)" numFmtId="0" databaseField="0">
      <fieldGroup base="0">
        <rangePr groupBy="years" startDate="2023-01-02T00:00:00" endDate="2023-09-21T00:00:00"/>
        <groupItems count="3">
          <s v="&lt;2/1/2023"/>
          <s v="2023"/>
          <s v="&gt;21/9/2023"/>
        </groupItems>
      </fieldGroup>
    </cacheField>
  </cacheFields>
  <extLst>
    <ext xmlns:x14="http://schemas.microsoft.com/office/spreadsheetml/2009/9/main" uri="{725AE2AE-9491-48be-B2B4-4EB974FC3084}">
      <x14:pivotCacheDefinition pivotCacheId="202814389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vin BRENES" refreshedDate="45971.512741203704" backgroundQuery="1" createdVersion="8" refreshedVersion="8" minRefreshableVersion="3" recordCount="0" supportSubquery="1" supportAdvancedDrill="1" xr:uid="{DE64B32B-3E87-406F-B590-45A0FD97A9A5}">
  <cacheSource type="external" connectionId="1"/>
  <cacheFields count="2">
    <cacheField name="[Tabla2].[Sector].[Sector]" caption="Sector" numFmtId="0" hierarchy="4" level="1">
      <sharedItems count="13">
        <s v="Agroindustria"/>
        <s v="Alimentos"/>
        <s v="Automotriz"/>
        <s v="Comercio"/>
        <s v="Electrónica"/>
        <s v="Energía"/>
        <s v="Farmacéutico"/>
        <s v="Logística"/>
        <s v="Minería"/>
        <s v="Pesca"/>
        <s v="Salud"/>
        <s v="Tecnología"/>
        <s v="Textil"/>
      </sharedItems>
    </cacheField>
    <cacheField name="[Measures].[Suma de Monto Total]" caption="Suma de Monto Total" numFmtId="0" hierarchy="16" level="32767"/>
  </cacheFields>
  <cacheHierarchies count="17">
    <cacheHierarchy uniqueName="[Tabla2].[ID]" caption="ID" attribute="1" defaultMemberUniqueName="[Tabla2].[ID].[All]" allUniqueName="[Tabla2].[ID].[All]" dimensionUniqueName="[Tabla2]" displayFolder="" count="0" memberValueDatatype="130" unbalanced="0"/>
    <cacheHierarchy uniqueName="[Tabla2].[Nombre del Cliente]" caption="Nombre del Cliente" attribute="1" defaultMemberUniqueName="[Tabla2].[Nombre del Cliente].[All]" allUniqueName="[Tabla2].[Nombre del Cliente].[All]" dimensionUniqueName="[Tabla2]" displayFolder="" count="0" memberValueDatatype="130" unbalanced="0"/>
    <cacheHierarchy uniqueName="[Tabla2].[País]" caption="País" attribute="1" defaultMemberUniqueName="[Tabla2].[País].[All]" allUniqueName="[Tabla2].[País].[All]" dimensionUniqueName="[Tabla2]" displayFolder="" count="0" memberValueDatatype="130" unbalanced="0"/>
    <cacheHierarchy uniqueName="[Tabla2].[Región]" caption="Región" attribute="1" defaultMemberUniqueName="[Tabla2].[Región].[All]" allUniqueName="[Tabla2].[Región].[All]" dimensionUniqueName="[Tabla2]" displayFolder="" count="0" memberValueDatatype="130" unbalanced="0"/>
    <cacheHierarchy uniqueName="[Tabla2].[Sector]" caption="Sector" attribute="1" defaultMemberUniqueName="[Tabla2].[Sector].[All]" allUniqueName="[Tabla2].[Sector].[All]" dimensionUniqueName="[Tabla2]" displayFolder="" count="2" memberValueDatatype="130" unbalanced="0">
      <fieldsUsage count="2">
        <fieldUsage x="-1"/>
        <fieldUsage x="0"/>
      </fieldsUsage>
    </cacheHierarchy>
    <cacheHierarchy uniqueName="[Tabla2].[Fecha de primer contacto]" caption="Fecha de primer contacto" attribute="1" time="1" defaultMemberUniqueName="[Tabla2].[Fecha de primer contacto].[All]" allUniqueName="[Tabla2].[Fecha de primer contacto].[All]" dimensionUniqueName="[Tabla2]" displayFolder="" count="0" memberValueDatatype="7" unbalanced="0"/>
    <cacheHierarchy uniqueName="[Tabla2].[Frecuencia de compra (meses)]" caption="Frecuencia de compra (meses)" attribute="1" defaultMemberUniqueName="[Tabla2].[Frecuencia de compra (meses)].[All]" allUniqueName="[Tabla2].[Frecuencia de compra (meses)].[All]" dimensionUniqueName="[Tabla2]" displayFolder="" count="0" memberValueDatatype="20" unbalanced="0"/>
    <cacheHierarchy uniqueName="[Tabla3].[Fecha]" caption="Fecha" attribute="1" time="1" defaultMemberUniqueName="[Tabla3].[Fecha].[All]" allUniqueName="[Tabla3].[Fecha].[All]" dimensionUniqueName="[Tabla3]" displayFolder="" count="0" memberValueDatatype="7" unbalanced="0"/>
    <cacheHierarchy uniqueName="[Tabla3].[ID Cliente]" caption="ID Cliente" attribute="1" defaultMemberUniqueName="[Tabla3].[ID Cliente].[All]" allUniqueName="[Tabla3].[ID Cliente].[All]" dimensionUniqueName="[Tabla3]" displayFolder="" count="0" memberValueDatatype="130" unbalanced="0"/>
    <cacheHierarchy uniqueName="[Tabla3].[Producto]" caption="Producto" attribute="1" defaultMemberUniqueName="[Tabla3].[Producto].[All]" allUniqueName="[Tabla3].[Producto].[All]" dimensionUniqueName="[Tabla3]" displayFolder="" count="0" memberValueDatatype="130" unbalanced="0"/>
    <cacheHierarchy uniqueName="[Tabla3].[Cantidad]" caption="Cantidad" attribute="1" defaultMemberUniqueName="[Tabla3].[Cantidad].[All]" allUniqueName="[Tabla3].[Cantidad].[All]" dimensionUniqueName="[Tabla3]" displayFolder="" count="0" memberValueDatatype="20" unbalanced="0"/>
    <cacheHierarchy uniqueName="[Tabla3].[Precio Unitario]" caption="Precio Unitario" attribute="1" defaultMemberUniqueName="[Tabla3].[Precio Unitario].[All]" allUniqueName="[Tabla3].[Precio Unitario].[All]" dimensionUniqueName="[Tabla3]" displayFolder="" count="0" memberValueDatatype="130" unbalanced="0"/>
    <cacheHierarchy uniqueName="[Tabla3].[Monto Total]" caption="Monto Total" attribute="1" defaultMemberUniqueName="[Tabla3].[Monto Total].[All]" allUniqueName="[Tabla3].[Monto Total].[All]" dimensionUniqueName="[Tabla3]" displayFolder="" count="0" memberValueDatatype="20" unbalanced="0"/>
    <cacheHierarchy uniqueName="[Measures].[__XL_Count Tabla3]" caption="__XL_Count Tabla3" measure="1" displayFolder="" measureGroup="Tabla3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  <cacheHierarchy uniqueName="[Measures].[Suma de Monto Total]" caption="Suma de Monto Total" measure="1" displayFolder="" measureGroup="Tabla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3">
    <dimension measure="1" name="Measures" uniqueName="[Measures]" caption="Measures"/>
    <dimension name="Tabla2" uniqueName="[Tabla2]" caption="Tabla2"/>
    <dimension name="Tabla3" uniqueName="[Tabla3]" caption="Tabla3"/>
  </dimensions>
  <measureGroups count="2">
    <measureGroup name="Tabla2" caption="Tabla2"/>
    <measureGroup name="Tabla3" caption="Tabla3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vin BRENES" refreshedDate="45971.527164120373" backgroundQuery="1" createdVersion="8" refreshedVersion="8" minRefreshableVersion="3" recordCount="0" supportSubquery="1" supportAdvancedDrill="1" xr:uid="{45FFA2F9-9370-4F3B-A140-22F691639D8B}">
  <cacheSource type="external" connectionId="1"/>
  <cacheFields count="3">
    <cacheField name="[Measures].[Suma de Monto Total]" caption="Suma de Monto Total" numFmtId="0" hierarchy="16" level="32767"/>
    <cacheField name="[Tabla2].[País].[País]" caption="País" numFmtId="0" hierarchy="2" level="1">
      <sharedItems count="24">
        <s v="Alemania"/>
        <s v="Argentina"/>
        <s v="Bélgica"/>
        <s v="Canadá"/>
        <s v="Chile"/>
        <s v="China"/>
        <s v="Colombia"/>
        <s v="Corea del Sur"/>
        <s v="Costa Rica"/>
        <s v="Ecuador"/>
        <s v="EE.UU."/>
        <s v="España"/>
        <s v="Francia"/>
        <s v="Italia"/>
        <s v="Japón"/>
        <s v="México"/>
        <s v="Noruega"/>
        <s v="Panamá"/>
        <s v="Perú"/>
        <s v="Reino Unido"/>
        <s v="República Dominicana"/>
        <s v="Singapur"/>
        <s v="Suecia"/>
        <s v="Suiza"/>
      </sharedItems>
    </cacheField>
    <cacheField name="[Tabla3].[Fecha].[Fecha]" caption="Fecha" numFmtId="0" hierarchy="7" level="1">
      <sharedItems containsSemiMixedTypes="0" containsNonDate="0" containsString="0"/>
    </cacheField>
  </cacheFields>
  <cacheHierarchies count="17">
    <cacheHierarchy uniqueName="[Tabla2].[ID]" caption="ID" attribute="1" defaultMemberUniqueName="[Tabla2].[ID].[All]" allUniqueName="[Tabla2].[ID].[All]" dimensionUniqueName="[Tabla2]" displayFolder="" count="2" memberValueDatatype="130" unbalanced="0"/>
    <cacheHierarchy uniqueName="[Tabla2].[Nombre del Cliente]" caption="Nombre del Cliente" attribute="1" defaultMemberUniqueName="[Tabla2].[Nombre del Cliente].[All]" allUniqueName="[Tabla2].[Nombre del Cliente].[All]" dimensionUniqueName="[Tabla2]" displayFolder="" count="2" memberValueDatatype="130" unbalanced="0"/>
    <cacheHierarchy uniqueName="[Tabla2].[País]" caption="País" attribute="1" defaultMemberUniqueName="[Tabla2].[País].[All]" allUniqueName="[Tabla2].[País].[All]" dimensionUniqueName="[Tabla2]" displayFolder="" count="2" memberValueDatatype="130" unbalanced="0">
      <fieldsUsage count="2">
        <fieldUsage x="-1"/>
        <fieldUsage x="1"/>
      </fieldsUsage>
    </cacheHierarchy>
    <cacheHierarchy uniqueName="[Tabla2].[Región]" caption="Región" attribute="1" defaultMemberUniqueName="[Tabla2].[Región].[All]" allUniqueName="[Tabla2].[Región].[All]" dimensionUniqueName="[Tabla2]" displayFolder="" count="2" memberValueDatatype="130" unbalanced="0"/>
    <cacheHierarchy uniqueName="[Tabla2].[Sector]" caption="Sector" attribute="1" defaultMemberUniqueName="[Tabla2].[Sector].[All]" allUniqueName="[Tabla2].[Sector].[All]" dimensionUniqueName="[Tabla2]" displayFolder="" count="2" memberValueDatatype="130" unbalanced="0"/>
    <cacheHierarchy uniqueName="[Tabla2].[Fecha de primer contacto]" caption="Fecha de primer contacto" attribute="1" time="1" defaultMemberUniqueName="[Tabla2].[Fecha de primer contacto].[All]" allUniqueName="[Tabla2].[Fecha de primer contacto].[All]" dimensionUniqueName="[Tabla2]" displayFolder="" count="2" memberValueDatatype="7" unbalanced="0"/>
    <cacheHierarchy uniqueName="[Tabla2].[Frecuencia de compra (meses)]" caption="Frecuencia de compra (meses)" attribute="1" defaultMemberUniqueName="[Tabla2].[Frecuencia de compra (meses)].[All]" allUniqueName="[Tabla2].[Frecuencia de compra (meses)].[All]" dimensionUniqueName="[Tabla2]" displayFolder="" count="2" memberValueDatatype="20" unbalanced="0"/>
    <cacheHierarchy uniqueName="[Tabla3].[Fecha]" caption="Fecha" attribute="1" time="1" defaultMemberUniqueName="[Tabla3].[Fecha].[All]" allUniqueName="[Tabla3].[Fecha].[All]" dimensionUniqueName="[Tabla3]" displayFolder="" count="2" memberValueDatatype="7" unbalanced="0">
      <fieldsUsage count="2">
        <fieldUsage x="-1"/>
        <fieldUsage x="2"/>
      </fieldsUsage>
    </cacheHierarchy>
    <cacheHierarchy uniqueName="[Tabla3].[ID Cliente]" caption="ID Cliente" attribute="1" defaultMemberUniqueName="[Tabla3].[ID Cliente].[All]" allUniqueName="[Tabla3].[ID Cliente].[All]" dimensionUniqueName="[Tabla3]" displayFolder="" count="2" memberValueDatatype="130" unbalanced="0"/>
    <cacheHierarchy uniqueName="[Tabla3].[Producto]" caption="Producto" attribute="1" defaultMemberUniqueName="[Tabla3].[Producto].[All]" allUniqueName="[Tabla3].[Producto].[All]" dimensionUniqueName="[Tabla3]" displayFolder="" count="2" memberValueDatatype="130" unbalanced="0"/>
    <cacheHierarchy uniqueName="[Tabla3].[Cantidad]" caption="Cantidad" attribute="1" defaultMemberUniqueName="[Tabla3].[Cantidad].[All]" allUniqueName="[Tabla3].[Cantidad].[All]" dimensionUniqueName="[Tabla3]" displayFolder="" count="2" memberValueDatatype="20" unbalanced="0"/>
    <cacheHierarchy uniqueName="[Tabla3].[Precio Unitario]" caption="Precio Unitario" attribute="1" defaultMemberUniqueName="[Tabla3].[Precio Unitario].[All]" allUniqueName="[Tabla3].[Precio Unitario].[All]" dimensionUniqueName="[Tabla3]" displayFolder="" count="2" memberValueDatatype="130" unbalanced="0"/>
    <cacheHierarchy uniqueName="[Tabla3].[Monto Total]" caption="Monto Total" attribute="1" defaultMemberUniqueName="[Tabla3].[Monto Total].[All]" allUniqueName="[Tabla3].[Monto Total].[All]" dimensionUniqueName="[Tabla3]" displayFolder="" count="2" memberValueDatatype="20" unbalanced="0"/>
    <cacheHierarchy uniqueName="[Measures].[__XL_Count Tabla3]" caption="__XL_Count Tabla3" measure="1" displayFolder="" measureGroup="Tabla3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  <cacheHierarchy uniqueName="[Measures].[Suma de Monto Total]" caption="Suma de Monto Total" measure="1" displayFolder="" measureGroup="Tabla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3">
    <dimension measure="1" name="Measures" uniqueName="[Measures]" caption="Measures"/>
    <dimension name="Tabla2" uniqueName="[Tabla2]" caption="Tabla2"/>
    <dimension name="Tabla3" uniqueName="[Tabla3]" caption="Tabla3"/>
  </dimensions>
  <measureGroups count="2">
    <measureGroup name="Tabla2" caption="Tabla2"/>
    <measureGroup name="Tabla3" caption="Tabla3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evin BRENES" refreshedDate="45971.525853009261" backgroundQuery="1" createdVersion="3" refreshedVersion="8" minRefreshableVersion="3" recordCount="0" supportSubquery="1" supportAdvancedDrill="1" xr:uid="{3895224E-28DB-49EB-8BA3-57144C33DEB7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7">
    <cacheHierarchy uniqueName="[Tabla2].[ID]" caption="ID" attribute="1" defaultMemberUniqueName="[Tabla2].[ID].[All]" allUniqueName="[Tabla2].[ID].[All]" dimensionUniqueName="[Tabla2]" displayFolder="" count="0" memberValueDatatype="130" unbalanced="0"/>
    <cacheHierarchy uniqueName="[Tabla2].[Nombre del Cliente]" caption="Nombre del Cliente" attribute="1" defaultMemberUniqueName="[Tabla2].[Nombre del Cliente].[All]" allUniqueName="[Tabla2].[Nombre del Cliente].[All]" dimensionUniqueName="[Tabla2]" displayFolder="" count="0" memberValueDatatype="130" unbalanced="0"/>
    <cacheHierarchy uniqueName="[Tabla2].[País]" caption="País" attribute="1" defaultMemberUniqueName="[Tabla2].[País].[All]" allUniqueName="[Tabla2].[País].[All]" dimensionUniqueName="[Tabla2]" displayFolder="" count="2" memberValueDatatype="130" unbalanced="0"/>
    <cacheHierarchy uniqueName="[Tabla2].[Región]" caption="Región" attribute="1" defaultMemberUniqueName="[Tabla2].[Región].[All]" allUniqueName="[Tabla2].[Región].[All]" dimensionUniqueName="[Tabla2]" displayFolder="" count="0" memberValueDatatype="130" unbalanced="0"/>
    <cacheHierarchy uniqueName="[Tabla2].[Sector]" caption="Sector" attribute="1" defaultMemberUniqueName="[Tabla2].[Sector].[All]" allUniqueName="[Tabla2].[Sector].[All]" dimensionUniqueName="[Tabla2]" displayFolder="" count="2" memberValueDatatype="130" unbalanced="0"/>
    <cacheHierarchy uniqueName="[Tabla2].[Fecha de primer contacto]" caption="Fecha de primer contacto" attribute="1" time="1" defaultMemberUniqueName="[Tabla2].[Fecha de primer contacto].[All]" allUniqueName="[Tabla2].[Fecha de primer contacto].[All]" dimensionUniqueName="[Tabla2]" displayFolder="" count="0" memberValueDatatype="7" unbalanced="0"/>
    <cacheHierarchy uniqueName="[Tabla2].[Frecuencia de compra (meses)]" caption="Frecuencia de compra (meses)" attribute="1" defaultMemberUniqueName="[Tabla2].[Frecuencia de compra (meses)].[All]" allUniqueName="[Tabla2].[Frecuencia de compra (meses)].[All]" dimensionUniqueName="[Tabla2]" displayFolder="" count="0" memberValueDatatype="20" unbalanced="0"/>
    <cacheHierarchy uniqueName="[Tabla3].[Fecha]" caption="Fecha" attribute="1" time="1" defaultMemberUniqueName="[Tabla3].[Fecha].[All]" allUniqueName="[Tabla3].[Fecha].[All]" dimensionUniqueName="[Tabla3]" displayFolder="" count="2" memberValueDatatype="7" unbalanced="0"/>
    <cacheHierarchy uniqueName="[Tabla3].[ID Cliente]" caption="ID Cliente" attribute="1" defaultMemberUniqueName="[Tabla3].[ID Cliente].[All]" allUniqueName="[Tabla3].[ID Cliente].[All]" dimensionUniqueName="[Tabla3]" displayFolder="" count="0" memberValueDatatype="130" unbalanced="0"/>
    <cacheHierarchy uniqueName="[Tabla3].[Producto]" caption="Producto" attribute="1" defaultMemberUniqueName="[Tabla3].[Producto].[All]" allUniqueName="[Tabla3].[Producto].[All]" dimensionUniqueName="[Tabla3]" displayFolder="" count="0" memberValueDatatype="130" unbalanced="0"/>
    <cacheHierarchy uniqueName="[Tabla3].[Cantidad]" caption="Cantidad" attribute="1" defaultMemberUniqueName="[Tabla3].[Cantidad].[All]" allUniqueName="[Tabla3].[Cantidad].[All]" dimensionUniqueName="[Tabla3]" displayFolder="" count="0" memberValueDatatype="20" unbalanced="0"/>
    <cacheHierarchy uniqueName="[Tabla3].[Precio Unitario]" caption="Precio Unitario" attribute="1" defaultMemberUniqueName="[Tabla3].[Precio Unitario].[All]" allUniqueName="[Tabla3].[Precio Unitario].[All]" dimensionUniqueName="[Tabla3]" displayFolder="" count="0" memberValueDatatype="130" unbalanced="0"/>
    <cacheHierarchy uniqueName="[Tabla3].[Monto Total]" caption="Monto Total" attribute="1" defaultMemberUniqueName="[Tabla3].[Monto Total].[All]" allUniqueName="[Tabla3].[Monto Total].[All]" dimensionUniqueName="[Tabla3]" displayFolder="" count="0" memberValueDatatype="20" unbalanced="0"/>
    <cacheHierarchy uniqueName="[Measures].[__XL_Count Tabla3]" caption="__XL_Count Tabla3" measure="1" displayFolder="" measureGroup="Tabla3" count="0" hidden="1"/>
    <cacheHierarchy uniqueName="[Measures].[__XL_Count Tabla2]" caption="__XL_Count Tabla2" measure="1" displayFolder="" measureGroup="Tabla2" count="0" hidden="1"/>
    <cacheHierarchy uniqueName="[Measures].[__No measures defined]" caption="__No measures defined" measure="1" displayFolder="" count="0" hidden="1"/>
    <cacheHierarchy uniqueName="[Measures].[Suma de Monto Total]" caption="Suma de Monto Total" measure="1" displayFolder="" measureGroup="Tabla3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431978458"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x v="0"/>
    <x v="0"/>
    <s v="Café orgánico"/>
    <n v="120"/>
    <s v="5.00"/>
    <n v="600"/>
  </r>
  <r>
    <x v="1"/>
    <x v="0"/>
    <s v="Café orgánico"/>
    <n v="100"/>
    <s v="5.00"/>
    <n v="500"/>
  </r>
  <r>
    <x v="2"/>
    <x v="0"/>
    <s v="Café orgánico"/>
    <n v="130"/>
    <s v="5.00"/>
    <n v="650"/>
  </r>
  <r>
    <x v="3"/>
    <x v="1"/>
    <s v="Panel solar"/>
    <n v="3"/>
    <s v="1200.00"/>
    <n v="3600"/>
  </r>
  <r>
    <x v="4"/>
    <x v="1"/>
    <s v="Batería solar"/>
    <n v="2"/>
    <s v="800.00"/>
    <n v="1600"/>
  </r>
  <r>
    <x v="5"/>
    <x v="1"/>
    <s v="Inversor eléctrico"/>
    <n v="1"/>
    <s v="900.00"/>
    <n v="900"/>
  </r>
  <r>
    <x v="6"/>
    <x v="2"/>
    <s v="Vino tinto reserva"/>
    <n v="60"/>
    <s v="15.00"/>
    <n v="900"/>
  </r>
  <r>
    <x v="7"/>
    <x v="2"/>
    <s v="Jamón ibérico"/>
    <n v="40"/>
    <s v="22.00"/>
    <n v="880"/>
  </r>
  <r>
    <x v="8"/>
    <x v="3"/>
    <s v="Palta Hass"/>
    <n v="200"/>
    <s v="2.50"/>
    <n v="500"/>
  </r>
  <r>
    <x v="9"/>
    <x v="3"/>
    <s v="Uva roja exportación"/>
    <n v="300"/>
    <s v="1.80"/>
    <n v="540"/>
  </r>
  <r>
    <x v="10"/>
    <x v="4"/>
    <s v="Café tostado"/>
    <n v="180"/>
    <s v="6.50"/>
    <n v="1170"/>
  </r>
  <r>
    <x v="11"/>
    <x v="4"/>
    <s v="Chocolate amargo"/>
    <n v="150"/>
    <s v="7.20"/>
    <n v="1080"/>
  </r>
  <r>
    <x v="12"/>
    <x v="5"/>
    <s v="Artículos varios"/>
    <n v="50"/>
    <s v="20.00"/>
    <n v="1000"/>
  </r>
  <r>
    <x v="13"/>
    <x v="5"/>
    <s v="Componentes eléctricos"/>
    <n v="40"/>
    <s v="35.00"/>
    <n v="1400"/>
  </r>
  <r>
    <x v="14"/>
    <x v="6"/>
    <s v="Medicamento natural"/>
    <n v="70"/>
    <s v="25.00"/>
    <n v="1750"/>
  </r>
  <r>
    <x v="15"/>
    <x v="6"/>
    <s v="Suplemento vitamínico"/>
    <n v="50"/>
    <s v="30.00"/>
    <n v="1500"/>
  </r>
  <r>
    <x v="16"/>
    <x v="7"/>
    <s v="Filtro automotriz"/>
    <n v="60"/>
    <s v="18.00"/>
    <n v="1080"/>
  </r>
  <r>
    <x v="7"/>
    <x v="7"/>
    <s v="Aceite motor"/>
    <n v="80"/>
    <s v="15.00"/>
    <n v="1200"/>
  </r>
  <r>
    <x v="17"/>
    <x v="8"/>
    <s v="Kit solar básico"/>
    <n v="5"/>
    <s v="950.00"/>
    <n v="4750"/>
  </r>
  <r>
    <x v="9"/>
    <x v="8"/>
    <s v="Panel solar 400W"/>
    <n v="4"/>
    <s v="1200.00"/>
    <n v="4800"/>
  </r>
  <r>
    <x v="2"/>
    <x v="9"/>
    <s v="Microchip"/>
    <n v="1000"/>
    <s v="3.00"/>
    <n v="3000"/>
  </r>
  <r>
    <x v="18"/>
    <x v="9"/>
    <s v="Sensor óptico"/>
    <n v="800"/>
    <s v="4.50"/>
    <n v="3600"/>
  </r>
  <r>
    <x v="19"/>
    <x v="10"/>
    <s v="Fertilizante orgánico"/>
    <n v="120"/>
    <s v="12.00"/>
    <n v="1440"/>
  </r>
  <r>
    <x v="16"/>
    <x v="10"/>
    <s v="Semillas de cacao"/>
    <n v="90"/>
    <s v="8.00"/>
    <n v="720"/>
  </r>
  <r>
    <x v="20"/>
    <x v="11"/>
    <s v="Equipo médico portátil"/>
    <n v="3"/>
    <s v="1300.00"/>
    <n v="3900"/>
  </r>
  <r>
    <x v="21"/>
    <x v="11"/>
    <s v="Termómetro digital"/>
    <n v="20"/>
    <s v="80.00"/>
    <n v="1600"/>
  </r>
  <r>
    <x v="22"/>
    <x v="12"/>
    <s v="Conservas gourmet"/>
    <n v="100"/>
    <s v="7.50"/>
    <n v="750"/>
  </r>
  <r>
    <x v="23"/>
    <x v="12"/>
    <s v="Embutidos curados"/>
    <n v="80"/>
    <s v="8.00"/>
    <n v="640"/>
  </r>
  <r>
    <x v="24"/>
    <x v="13"/>
    <s v="Filete de pescado"/>
    <n v="200"/>
    <s v="3.50"/>
    <n v="700"/>
  </r>
  <r>
    <x v="7"/>
    <x v="13"/>
    <s v="Camarones"/>
    <n v="150"/>
    <s v="5.00"/>
    <n v="750"/>
  </r>
  <r>
    <x v="25"/>
    <x v="14"/>
    <s v="Servicio transporte marítimo"/>
    <n v="2"/>
    <s v="1500.00"/>
    <n v="3000"/>
  </r>
  <r>
    <x v="26"/>
    <x v="14"/>
    <s v="Servicio aéreo"/>
    <n v="1"/>
    <s v="2500.00"/>
    <n v="2500"/>
  </r>
  <r>
    <x v="27"/>
    <x v="15"/>
    <s v="Queso artesanal"/>
    <n v="100"/>
    <s v="9.00"/>
    <n v="900"/>
  </r>
  <r>
    <x v="28"/>
    <x v="15"/>
    <s v="Pan integral"/>
    <n v="150"/>
    <s v="4.00"/>
    <n v="600"/>
  </r>
  <r>
    <x v="2"/>
    <x v="16"/>
    <s v="Tela de algodón"/>
    <n v="200"/>
    <s v="6.50"/>
    <n v="1300"/>
  </r>
  <r>
    <x v="29"/>
    <x v="16"/>
    <s v="Tela sintética"/>
    <n v="150"/>
    <s v="7.00"/>
    <n v="1050"/>
  </r>
  <r>
    <x v="30"/>
    <x v="17"/>
    <s v="Concentrado mineral"/>
    <n v="15"/>
    <s v="600.00"/>
    <n v="9000"/>
  </r>
  <r>
    <x v="31"/>
    <x v="17"/>
    <s v="Hierro refinado"/>
    <n v="10"/>
    <s v="750.00"/>
    <n v="7500"/>
  </r>
  <r>
    <x v="32"/>
    <x v="18"/>
    <s v="Turbina eólica"/>
    <n v="1"/>
    <s v="8500.00"/>
    <n v="8500"/>
  </r>
  <r>
    <x v="33"/>
    <x v="18"/>
    <s v="Inversor industrial"/>
    <n v="2"/>
    <s v="3000.00"/>
    <n v="6000"/>
  </r>
  <r>
    <x v="34"/>
    <x v="19"/>
    <s v="Chip conductor"/>
    <n v="1200"/>
    <s v="2.80"/>
    <n v="3360"/>
  </r>
  <r>
    <x v="18"/>
    <x v="19"/>
    <s v="Sensor térmico"/>
    <n v="900"/>
    <s v="3.20"/>
    <n v="2880"/>
  </r>
  <r>
    <x v="3"/>
    <x v="20"/>
    <s v="Cacao fino"/>
    <n v="150"/>
    <s v="6.00"/>
    <n v="900"/>
  </r>
  <r>
    <x v="35"/>
    <x v="20"/>
    <s v="Piña golden"/>
    <n v="250"/>
    <s v="2.00"/>
    <n v="500"/>
  </r>
  <r>
    <x v="25"/>
    <x v="21"/>
    <s v="Ropa deportiva"/>
    <n v="100"/>
    <s v="15.00"/>
    <n v="1500"/>
  </r>
  <r>
    <x v="36"/>
    <x v="21"/>
    <s v="Calzado urbano"/>
    <n v="80"/>
    <s v="25.00"/>
    <n v="2000"/>
  </r>
  <r>
    <x v="37"/>
    <x v="22"/>
    <s v="Chocolate suizo"/>
    <n v="200"/>
    <s v="10.00"/>
    <n v="2000"/>
  </r>
  <r>
    <x v="33"/>
    <x v="22"/>
    <s v="Queso alpino"/>
    <n v="150"/>
    <s v="8.50"/>
    <n v="1275"/>
  </r>
  <r>
    <x v="1"/>
    <x v="23"/>
    <s v="Laptop"/>
    <n v="10"/>
    <s v="1200.00"/>
    <n v="12000"/>
  </r>
  <r>
    <x v="18"/>
    <x v="23"/>
    <s v="Tablet"/>
    <n v="15"/>
    <s v="600.00"/>
    <n v="9000"/>
  </r>
  <r>
    <x v="24"/>
    <x v="24"/>
    <s v="Panel solar 300W"/>
    <n v="6"/>
    <s v="1100.00"/>
    <n v="6600"/>
  </r>
  <r>
    <x v="38"/>
    <x v="24"/>
    <s v="Batería industrial"/>
    <n v="3"/>
    <s v="950.00"/>
    <n v="2850"/>
  </r>
  <r>
    <x v="3"/>
    <x v="25"/>
    <s v="Atún premium"/>
    <n v="100"/>
    <s v="4.20"/>
    <n v="420"/>
  </r>
  <r>
    <x v="4"/>
    <x v="25"/>
    <s v="Camarón congelado"/>
    <n v="80"/>
    <s v="6.00"/>
    <n v="480"/>
  </r>
  <r>
    <x v="25"/>
    <x v="26"/>
    <s v="Palta Hass"/>
    <n v="120"/>
    <s v="2.50"/>
    <n v="300"/>
  </r>
  <r>
    <x v="7"/>
    <x v="26"/>
    <s v="Mango Kent"/>
    <n v="150"/>
    <s v="2.00"/>
    <n v="300"/>
  </r>
  <r>
    <x v="2"/>
    <x v="27"/>
    <s v="Suero médico"/>
    <n v="60"/>
    <s v="35.00"/>
    <n v="2100"/>
  </r>
  <r>
    <x v="39"/>
    <x v="27"/>
    <s v="Guantes quirúrgicos"/>
    <n v="200"/>
    <s v="4.00"/>
    <n v="800"/>
  </r>
  <r>
    <x v="40"/>
    <x v="28"/>
    <s v="Filtro aire"/>
    <n v="100"/>
    <s v="18.00"/>
    <n v="1800"/>
  </r>
  <r>
    <x v="41"/>
    <x v="28"/>
    <s v="Pastillas freno"/>
    <n v="70"/>
    <s v="25.00"/>
    <n v="1750"/>
  </r>
  <r>
    <x v="42"/>
    <x v="29"/>
    <s v="Pan artesanal"/>
    <n v="200"/>
    <s v="3.50"/>
    <n v="700"/>
  </r>
  <r>
    <x v="43"/>
    <x v="29"/>
    <s v="Queso cheddar"/>
    <n v="150"/>
    <s v="6.00"/>
    <n v="900"/>
  </r>
  <r>
    <x v="25"/>
    <x v="30"/>
    <s v="Filete de atún"/>
    <n v="200"/>
    <s v="4.00"/>
    <n v="800"/>
  </r>
  <r>
    <x v="36"/>
    <x v="30"/>
    <s v="Pescado seco"/>
    <n v="150"/>
    <s v="5.50"/>
    <n v="825"/>
  </r>
  <r>
    <x v="44"/>
    <x v="31"/>
    <s v="Café verde"/>
    <n v="150"/>
    <s v="4.00"/>
    <n v="600"/>
  </r>
  <r>
    <x v="29"/>
    <x v="31"/>
    <s v="Cacao fino"/>
    <n v="120"/>
    <s v="6.00"/>
    <n v="720"/>
  </r>
  <r>
    <x v="1"/>
    <x v="32"/>
    <s v="Servidor industrial"/>
    <n v="2"/>
    <s v="2800.00"/>
    <n v="5600"/>
  </r>
  <r>
    <x v="45"/>
    <x v="32"/>
    <s v="Laptop"/>
    <n v="5"/>
    <s v="1200.00"/>
    <n v="6000"/>
  </r>
  <r>
    <x v="46"/>
    <x v="33"/>
    <s v="Souvenir corporativo"/>
    <n v="50"/>
    <s v="25.00"/>
    <n v="1250"/>
  </r>
  <r>
    <x v="39"/>
    <x v="33"/>
    <s v="Equipo promocional"/>
    <n v="30"/>
    <s v="35.00"/>
    <n v="1050"/>
  </r>
  <r>
    <x v="47"/>
    <x v="34"/>
    <s v="Panel solar"/>
    <n v="4"/>
    <s v="1200.00"/>
    <n v="4800"/>
  </r>
  <r>
    <x v="41"/>
    <x v="34"/>
    <s v="Batería solar"/>
    <n v="3"/>
    <s v="950.00"/>
    <n v="2850"/>
  </r>
  <r>
    <x v="48"/>
    <x v="35"/>
    <s v="Equipo diagnóstico"/>
    <n v="2"/>
    <s v="1500.00"/>
    <n v="3000"/>
  </r>
  <r>
    <x v="2"/>
    <x v="35"/>
    <s v="Termómetro digital"/>
    <n v="25"/>
    <s v="70.00"/>
    <n v="1750"/>
  </r>
  <r>
    <x v="1"/>
    <x v="36"/>
    <s v="Uva roja"/>
    <n v="300"/>
    <s v="1.50"/>
    <n v="450"/>
  </r>
  <r>
    <x v="18"/>
    <x v="36"/>
    <s v="Banano orgánico"/>
    <n v="250"/>
    <s v="1.20"/>
    <n v="300"/>
  </r>
  <r>
    <x v="37"/>
    <x v="37"/>
    <s v="Envío marítimo"/>
    <n v="3"/>
    <s v="1600.00"/>
    <n v="4800"/>
  </r>
  <r>
    <x v="33"/>
    <x v="37"/>
    <s v="Envío aéreo"/>
    <n v="2"/>
    <s v="2500.00"/>
    <n v="5000"/>
  </r>
  <r>
    <x v="49"/>
    <x v="38"/>
    <s v="Atún fresco"/>
    <n v="120"/>
    <s v="5.00"/>
    <n v="600"/>
  </r>
  <r>
    <x v="26"/>
    <x v="38"/>
    <s v="Langosta"/>
    <n v="80"/>
    <s v="9.00"/>
    <n v="720"/>
  </r>
  <r>
    <x v="40"/>
    <x v="39"/>
    <s v="Laptop"/>
    <n v="6"/>
    <s v="1150.00"/>
    <n v="6900"/>
  </r>
  <r>
    <x v="7"/>
    <x v="39"/>
    <s v="Monitor LED"/>
    <n v="8"/>
    <s v="350.00"/>
    <n v="2800"/>
  </r>
  <r>
    <x v="1"/>
    <x v="40"/>
    <s v="Pescado ahumado"/>
    <n v="100"/>
    <s v="8.00"/>
    <n v="800"/>
  </r>
  <r>
    <x v="43"/>
    <x v="40"/>
    <s v="Caviar"/>
    <n v="50"/>
    <s v="15.00"/>
    <n v="750"/>
  </r>
  <r>
    <x v="50"/>
    <x v="41"/>
    <s v="Turbina eólica"/>
    <n v="1"/>
    <s v="9000.00"/>
    <n v="9000"/>
  </r>
  <r>
    <x v="7"/>
    <x v="41"/>
    <s v="Inversor industrial"/>
    <n v="2"/>
    <s v="3000.00"/>
    <n v="6000"/>
  </r>
  <r>
    <x v="0"/>
    <x v="42"/>
    <s v="Ropa casual"/>
    <n v="90"/>
    <s v="20.00"/>
    <n v="1800"/>
  </r>
  <r>
    <x v="42"/>
    <x v="42"/>
    <s v="Calzado deportivo"/>
    <n v="70"/>
    <s v="30.00"/>
    <n v="2100"/>
  </r>
  <r>
    <x v="25"/>
    <x v="43"/>
    <s v="Equipo electrónico"/>
    <n v="10"/>
    <s v="700.00"/>
    <n v="7000"/>
  </r>
  <r>
    <x v="51"/>
    <x v="43"/>
    <s v="Smartphone"/>
    <n v="8"/>
    <s v="800.00"/>
    <n v="6400"/>
  </r>
  <r>
    <x v="2"/>
    <x v="44"/>
    <s v="Café verde"/>
    <n v="100"/>
    <s v="5.00"/>
    <n v="500"/>
  </r>
  <r>
    <x v="29"/>
    <x v="44"/>
    <s v="Piña golden"/>
    <n v="200"/>
    <s v="2.00"/>
    <n v="400"/>
  </r>
  <r>
    <x v="1"/>
    <x v="45"/>
    <s v="Medicamento"/>
    <n v="50"/>
    <s v="40.00"/>
    <n v="2000"/>
  </r>
  <r>
    <x v="43"/>
    <x v="45"/>
    <s v="Kit quirúrgico"/>
    <n v="20"/>
    <s v="120.00"/>
    <n v="2400"/>
  </r>
  <r>
    <x v="2"/>
    <x v="46"/>
    <s v="Aceite motor"/>
    <n v="80"/>
    <s v="15.00"/>
    <n v="1200"/>
  </r>
  <r>
    <x v="52"/>
    <x v="46"/>
    <s v="Filtro aire"/>
    <n v="60"/>
    <s v="18.00"/>
    <n v="1080"/>
  </r>
  <r>
    <x v="25"/>
    <x v="47"/>
    <s v="Transporte terrestre"/>
    <n v="4"/>
    <s v="1200.00"/>
    <n v="4800"/>
  </r>
  <r>
    <x v="53"/>
    <x v="47"/>
    <s v="Envío marítimo"/>
    <n v="3"/>
    <s v="1500.00"/>
    <n v="4500"/>
  </r>
  <r>
    <x v="46"/>
    <x v="48"/>
    <s v="Café tostado"/>
    <n v="150"/>
    <s v="6.00"/>
    <n v="900"/>
  </r>
  <r>
    <x v="20"/>
    <x v="48"/>
    <s v="Cacao fino"/>
    <n v="120"/>
    <s v="5.00"/>
    <n v="600"/>
  </r>
  <r>
    <x v="1"/>
    <x v="49"/>
    <s v="Panel solar"/>
    <n v="5"/>
    <s v="1200.00"/>
    <n v="6000"/>
  </r>
  <r>
    <x v="43"/>
    <x v="49"/>
    <s v="Inversor eléctrico"/>
    <n v="2"/>
    <s v="950.00"/>
    <n v="1900"/>
  </r>
  <r>
    <x v="2"/>
    <x v="50"/>
    <s v="Yogurt artesanal"/>
    <n v="100"/>
    <s v="4.50"/>
    <n v="450"/>
  </r>
  <r>
    <x v="38"/>
    <x v="50"/>
    <s v="Queso fresco"/>
    <n v="80"/>
    <s v="5.00"/>
    <n v="400"/>
  </r>
  <r>
    <x v="3"/>
    <x v="51"/>
    <s v="Kit diagnóstico"/>
    <n v="5"/>
    <s v="900.00"/>
    <n v="4500"/>
  </r>
  <r>
    <x v="31"/>
    <x v="51"/>
    <s v="Termómetro digital"/>
    <n v="20"/>
    <s v="80.00"/>
    <n v="1600"/>
  </r>
  <r>
    <x v="47"/>
    <x v="52"/>
    <s v="Panel solar"/>
    <n v="3"/>
    <s v="1200.00"/>
    <n v="3600"/>
  </r>
  <r>
    <x v="29"/>
    <x v="52"/>
    <s v="Batería industrial"/>
    <n v="2"/>
    <s v="950.00"/>
    <n v="1900"/>
  </r>
  <r>
    <x v="50"/>
    <x v="53"/>
    <s v="Aceite de oliva"/>
    <n v="200"/>
    <s v="8.00"/>
    <n v="1600"/>
  </r>
  <r>
    <x v="53"/>
    <x v="53"/>
    <s v="Embutido gourmet"/>
    <n v="150"/>
    <s v="7.00"/>
    <n v="1050"/>
  </r>
  <r>
    <x v="1"/>
    <x v="54"/>
    <s v="Microchip"/>
    <n v="1500"/>
    <s v="2.80"/>
    <n v="4200"/>
  </r>
  <r>
    <x v="18"/>
    <x v="54"/>
    <s v="Sensor óptico"/>
    <n v="900"/>
    <s v="4.50"/>
    <n v="4050"/>
  </r>
  <r>
    <x v="2"/>
    <x v="55"/>
    <s v="Transporte marítimo"/>
    <n v="3"/>
    <s v="1500.00"/>
    <n v="4500"/>
  </r>
  <r>
    <x v="38"/>
    <x v="55"/>
    <s v="Transporte aéreo"/>
    <n v="2"/>
    <s v="2500.00"/>
    <n v="5000"/>
  </r>
  <r>
    <x v="34"/>
    <x v="56"/>
    <s v="Pan artesanal"/>
    <n v="150"/>
    <s v="3.50"/>
    <n v="525"/>
  </r>
  <r>
    <x v="18"/>
    <x v="56"/>
    <s v="Queso suizo"/>
    <n v="100"/>
    <s v="8.00"/>
    <n v="800"/>
  </r>
  <r>
    <x v="3"/>
    <x v="57"/>
    <s v="Souvenir corporativo"/>
    <n v="60"/>
    <s v="25.00"/>
    <n v="1500"/>
  </r>
  <r>
    <x v="43"/>
    <x v="57"/>
    <s v="Material promocional"/>
    <n v="50"/>
    <s v="30.00"/>
    <n v="1500"/>
  </r>
  <r>
    <x v="25"/>
    <x v="58"/>
    <s v="Camarones"/>
    <n v="120"/>
    <s v="6.00"/>
    <n v="720"/>
  </r>
  <r>
    <x v="36"/>
    <x v="58"/>
    <s v="Pescado seco"/>
    <n v="90"/>
    <s v="5.00"/>
    <n v="450"/>
  </r>
  <r>
    <x v="2"/>
    <x v="59"/>
    <s v="Turbina solar"/>
    <n v="2"/>
    <s v="8500.00"/>
    <n v="17000"/>
  </r>
  <r>
    <x v="29"/>
    <x v="59"/>
    <s v="Panel industrial"/>
    <n v="4"/>
    <s v="3000.00"/>
    <n v="1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E56D54-387C-4A8C-94EC-89506CCBDA31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Ventas por sector">
  <location ref="D3:E17" firstHeaderRow="1" firstDataRow="1" firstDataCol="1"/>
  <pivotFields count="2">
    <pivotField axis="axisRow" allDrilled="1" showAll="0" dataSourceSort="1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dataField="1" subtotalTop="0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de Monto Total" fld="1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2]"/>
        <x15:activeTabTopLevelEntity name="[Tabla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4ACF02-72A6-4057-BB59-E5009523B9A1}" name="TablaDinámica2" cacheId="2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chartFormat="14" rowHeaderCaption="Ventas por Pais ">
  <location ref="A3:B28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llDrilled="1" subtotalTop="0" showAll="0" dataSourceSort="1" defaultSubtotal="0" defaultAttributeDrillState="1"/>
  </pivotFields>
  <rowFields count="1">
    <field x="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a de Monto Total" fld="0" baseField="0" baseItem="0"/>
  </dataField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a3]"/>
        <x15:activeTabTopLevelEntity name="[Tabla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1BEB79-4974-4FBE-B9BA-77193C17BD3B}" name="TablaDinámica6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 rowHeaderCaption="Ventas Mensuales">
  <location ref="G3:H15" firstHeaderRow="1" firstDataRow="1" firstDataCol="1"/>
  <pivotFields count="8">
    <pivotField axis="axisRow" numFmtId="14" showAll="0">
      <items count="55">
        <item x="19"/>
        <item x="48"/>
        <item x="0"/>
        <item x="49"/>
        <item x="3"/>
        <item x="6"/>
        <item x="12"/>
        <item x="32"/>
        <item x="44"/>
        <item x="47"/>
        <item x="40"/>
        <item x="30"/>
        <item x="25"/>
        <item x="34"/>
        <item x="1"/>
        <item x="22"/>
        <item x="16"/>
        <item x="37"/>
        <item x="2"/>
        <item x="24"/>
        <item x="46"/>
        <item x="50"/>
        <item x="26"/>
        <item x="42"/>
        <item x="35"/>
        <item x="4"/>
        <item x="27"/>
        <item x="13"/>
        <item x="5"/>
        <item x="52"/>
        <item x="41"/>
        <item x="20"/>
        <item x="36"/>
        <item x="7"/>
        <item x="31"/>
        <item x="18"/>
        <item x="23"/>
        <item x="33"/>
        <item x="14"/>
        <item x="29"/>
        <item x="38"/>
        <item x="39"/>
        <item x="51"/>
        <item x="53"/>
        <item x="45"/>
        <item x="43"/>
        <item x="17"/>
        <item x="8"/>
        <item x="21"/>
        <item x="28"/>
        <item x="15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sd="0" x="4"/>
        <item sd="0" x="5"/>
        <item sd="0"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3">
    <field x="7"/>
    <field x="6"/>
    <field x="0"/>
  </rowFields>
  <rowItems count="12">
    <i>
      <x v="1"/>
    </i>
    <i r="1">
      <x v="4"/>
    </i>
    <i r="1">
      <x v="5"/>
    </i>
    <i r="1">
      <x v="6"/>
    </i>
    <i r="1">
      <x v="7"/>
    </i>
    <i r="2">
      <x v="50"/>
    </i>
    <i r="2">
      <x v="51"/>
    </i>
    <i r="1">
      <x v="8"/>
    </i>
    <i r="2">
      <x v="52"/>
    </i>
    <i r="1">
      <x v="9"/>
    </i>
    <i r="2">
      <x v="53"/>
    </i>
    <i t="grand">
      <x/>
    </i>
  </rowItems>
  <colItems count="1">
    <i/>
  </colItems>
  <dataFields count="1">
    <dataField name="Suma de Monto Total" fld="5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78" name="Fecha">
      <autoFilter ref="A1">
        <filterColumn colId="0">
          <customFilters and="1">
            <customFilter operator="greaterThanOrEqual" val="45017"/>
            <customFilter operator="lessThanOrEqual" val="4519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A1AAA-DCF8-4DA6-9BEA-FC1F54100D5D}" name="TablaDinámica1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">
  <location ref="J3:K11" firstHeaderRow="1" firstDataRow="1" firstDataCol="1"/>
  <pivotFields count="8">
    <pivotField numFmtId="14" showAll="0">
      <items count="55">
        <item x="19"/>
        <item x="48"/>
        <item x="0"/>
        <item x="49"/>
        <item x="3"/>
        <item x="6"/>
        <item x="12"/>
        <item x="32"/>
        <item x="44"/>
        <item x="47"/>
        <item x="40"/>
        <item x="30"/>
        <item x="25"/>
        <item x="34"/>
        <item x="1"/>
        <item x="22"/>
        <item x="16"/>
        <item x="37"/>
        <item x="2"/>
        <item x="24"/>
        <item x="46"/>
        <item x="50"/>
        <item x="26"/>
        <item x="42"/>
        <item x="35"/>
        <item x="4"/>
        <item x="27"/>
        <item x="13"/>
        <item x="5"/>
        <item x="52"/>
        <item x="41"/>
        <item x="20"/>
        <item x="36"/>
        <item x="7"/>
        <item x="31"/>
        <item x="18"/>
        <item x="23"/>
        <item x="33"/>
        <item x="14"/>
        <item x="29"/>
        <item x="38"/>
        <item x="39"/>
        <item x="51"/>
        <item x="53"/>
        <item x="45"/>
        <item x="43"/>
        <item x="17"/>
        <item x="8"/>
        <item x="21"/>
        <item x="28"/>
        <item x="15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7"/>
    <field x="6"/>
  </rowFields>
  <rowItems count="8"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a de Monto Total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14" name="Fecha">
      <autoFilter ref="A1">
        <filterColumn colId="0">
          <customFilters and="1">
            <customFilter operator="greaterThanOrEqual" val="45017"/>
            <customFilter operator="lessThanOrEqual" val="4519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4199E-2901-4EDA-A85E-0C9180D4862E}" name="TablaDinámica8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">
  <location ref="A3:B11" firstHeaderRow="1" firstDataRow="1" firstDataCol="1"/>
  <pivotFields count="8">
    <pivotField numFmtId="14" showAll="0">
      <items count="55">
        <item x="19"/>
        <item x="48"/>
        <item x="0"/>
        <item x="49"/>
        <item x="3"/>
        <item x="6"/>
        <item x="12"/>
        <item x="32"/>
        <item x="44"/>
        <item x="47"/>
        <item x="40"/>
        <item x="30"/>
        <item x="25"/>
        <item x="34"/>
        <item x="1"/>
        <item x="22"/>
        <item x="16"/>
        <item x="37"/>
        <item x="2"/>
        <item x="24"/>
        <item x="46"/>
        <item x="50"/>
        <item x="26"/>
        <item x="42"/>
        <item x="35"/>
        <item x="4"/>
        <item x="27"/>
        <item x="13"/>
        <item x="5"/>
        <item x="52"/>
        <item x="41"/>
        <item x="20"/>
        <item x="36"/>
        <item x="7"/>
        <item x="31"/>
        <item x="18"/>
        <item x="23"/>
        <item x="33"/>
        <item x="14"/>
        <item x="29"/>
        <item x="38"/>
        <item x="39"/>
        <item x="51"/>
        <item x="53"/>
        <item x="45"/>
        <item x="43"/>
        <item x="17"/>
        <item x="8"/>
        <item x="21"/>
        <item x="28"/>
        <item x="15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7"/>
    <field x="6"/>
  </rowFields>
  <rowItems count="8">
    <i>
      <x v="1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a de Monto Total" fld="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14" name="Fecha">
      <autoFilter ref="A1">
        <filterColumn colId="0">
          <customFilters and="1">
            <customFilter operator="greaterThanOrEqual" val="45017"/>
            <customFilter operator="lessThanOrEqual" val="4519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aís" xr10:uid="{81CB8C99-ECF2-4D7E-8ED9-A81952904F53}" sourceName="[Tabla2].[País]">
  <pivotTables>
    <pivotTable tabId="8" name="TablaDinámica2"/>
  </pivotTables>
  <data>
    <olap pivotCacheId="1431978458">
      <levels count="2">
        <level uniqueName="[Tabla2].[País].[(All)]" sourceCaption="(All)" count="0"/>
        <level uniqueName="[Tabla2].[País].[País]" sourceCaption="País" count="24">
          <ranges>
            <range startItem="0">
              <i n="[Tabla2].[País].&amp;[Alemania]" c="Alemania"/>
              <i n="[Tabla2].[País].&amp;[Argentina]" c="Argentina"/>
              <i n="[Tabla2].[País].&amp;[Bélgica]" c="Bélgica"/>
              <i n="[Tabla2].[País].&amp;[Canadá]" c="Canadá"/>
              <i n="[Tabla2].[País].&amp;[Chile]" c="Chile"/>
              <i n="[Tabla2].[País].&amp;[China]" c="China"/>
              <i n="[Tabla2].[País].&amp;[Colombia]" c="Colombia"/>
              <i n="[Tabla2].[País].&amp;[Corea del Sur]" c="Corea del Sur"/>
              <i n="[Tabla2].[País].&amp;[Costa Rica]" c="Costa Rica"/>
              <i n="[Tabla2].[País].&amp;[Ecuador]" c="Ecuador"/>
              <i n="[Tabla2].[País].&amp;[EE.UU.]" c="EE.UU."/>
              <i n="[Tabla2].[País].&amp;[España]" c="España"/>
              <i n="[Tabla2].[País].&amp;[Francia]" c="Francia"/>
              <i n="[Tabla2].[País].&amp;[Italia]" c="Italia"/>
              <i n="[Tabla2].[País].&amp;[Japón]" c="Japón"/>
              <i n="[Tabla2].[País].&amp;[México]" c="México"/>
              <i n="[Tabla2].[País].&amp;[Noruega]" c="Noruega"/>
              <i n="[Tabla2].[País].&amp;[Panamá]" c="Panamá"/>
              <i n="[Tabla2].[País].&amp;[Perú]" c="Perú"/>
              <i n="[Tabla2].[País].&amp;[Reino Unido]" c="Reino Unido"/>
              <i n="[Tabla2].[País].&amp;[República Dominicana]" c="República Dominicana"/>
              <i n="[Tabla2].[País].&amp;[Singapur]" c="Singapur"/>
              <i n="[Tabla2].[País].&amp;[Suecia]" c="Suecia"/>
              <i n="[Tabla2].[País].&amp;[Suiza]" c="Suiza"/>
            </range>
          </ranges>
        </level>
      </levels>
      <selections count="1">
        <selection n="[Tabla2].[País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ctor" xr10:uid="{CA95EC33-1A4A-452A-BD89-D2D8B14F5969}" sourceName="[Tabla2].[Sector]">
  <pivotTables>
    <pivotTable tabId="8" name="TablaDinámica2"/>
  </pivotTables>
  <data>
    <olap pivotCacheId="1431978458">
      <levels count="2">
        <level uniqueName="[Tabla2].[Sector].[(All)]" sourceCaption="(All)" count="0"/>
        <level uniqueName="[Tabla2].[Sector].[Sector]" sourceCaption="Sector" count="13">
          <ranges>
            <range startItem="0">
              <i n="[Tabla2].[Sector].&amp;[Agroindustria]" c="Agroindustria"/>
              <i n="[Tabla2].[Sector].&amp;[Alimentos]" c="Alimentos"/>
              <i n="[Tabla2].[Sector].&amp;[Automotriz]" c="Automotriz"/>
              <i n="[Tabla2].[Sector].&amp;[Comercio]" c="Comercio"/>
              <i n="[Tabla2].[Sector].&amp;[Electrónica]" c="Electrónica"/>
              <i n="[Tabla2].[Sector].&amp;[Energía]" c="Energía"/>
              <i n="[Tabla2].[Sector].&amp;[Farmacéutico]" c="Farmacéutico"/>
              <i n="[Tabla2].[Sector].&amp;[Logística]" c="Logística"/>
              <i n="[Tabla2].[Sector].&amp;[Minería]" c="Minería"/>
              <i n="[Tabla2].[Sector].&amp;[Pesca]" c="Pesca"/>
              <i n="[Tabla2].[Sector].&amp;[Salud]" c="Salud"/>
              <i n="[Tabla2].[Sector].&amp;[Tecnología]" c="Tecnología"/>
              <i n="[Tabla2].[Sector].&amp;[Textil]" c="Textil"/>
            </range>
          </ranges>
        </level>
      </levels>
      <selections count="1">
        <selection n="[Tabla2].[Sector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5760A298-D38D-4E5C-98FC-CF70059E8987}" sourceName="[Tabla3].[Fecha]">
  <pivotTables>
    <pivotTable tabId="8" name="TablaDinámica2"/>
  </pivotTables>
  <data>
    <olap pivotCacheId="1431978458">
      <levels count="2">
        <level uniqueName="[Tabla3].[Fecha].[(All)]" sourceCaption="(All)" count="0"/>
        <level uniqueName="[Tabla3].[Fecha].[Fecha]" sourceCaption="Fecha" count="54">
          <ranges>
            <range startItem="0">
              <i n="[Tabla3].[Fecha].&amp;[2023-01-02T00:00:00]" c="2/1/2023"/>
              <i n="[Tabla3].[Fecha].&amp;[2023-01-03T00:00:00]" c="3/1/2023"/>
              <i n="[Tabla3].[Fecha].&amp;[2023-01-05T00:00:00]" c="5/1/2023"/>
              <i n="[Tabla3].[Fecha].&amp;[2023-01-08T00:00:00]" c="8/1/2023"/>
              <i n="[Tabla3].[Fecha].&amp;[2023-01-10T00:00:00]" c="10/1/2023"/>
              <i n="[Tabla3].[Fecha].&amp;[2023-02-01T00:00:00]" c="1/2/2023"/>
              <i n="[Tabla3].[Fecha].&amp;[2023-02-02T00:00:00]" c="2/2/2023"/>
              <i n="[Tabla3].[Fecha].&amp;[2023-02-03T00:00:00]" c="3/2/2023"/>
              <i n="[Tabla3].[Fecha].&amp;[2023-02-04T00:00:00]" c="4/2/2023"/>
              <i n="[Tabla3].[Fecha].&amp;[2023-02-05T00:00:00]" c="5/2/2023"/>
              <i n="[Tabla3].[Fecha].&amp;[2023-02-06T00:00:00]" c="6/2/2023"/>
              <i n="[Tabla3].[Fecha].&amp;[2023-02-07T00:00:00]" c="7/2/2023"/>
              <i n="[Tabla3].[Fecha].&amp;[2023-02-08T00:00:00]" c="8/2/2023"/>
              <i n="[Tabla3].[Fecha].&amp;[2023-02-09T00:00:00]" c="9/2/2023"/>
              <i n="[Tabla3].[Fecha].&amp;[2023-02-10T00:00:00]" c="10/2/2023"/>
              <i n="[Tabla3].[Fecha].&amp;[2023-02-11T00:00:00]" c="11/2/2023"/>
              <i n="[Tabla3].[Fecha].&amp;[2023-03-01T00:00:00]" c="1/3/2023"/>
              <i n="[Tabla3].[Fecha].&amp;[2023-03-02T00:00:00]" c="2/3/2023"/>
              <i n="[Tabla3].[Fecha].&amp;[2023-03-05T00:00:00]" c="5/3/2023"/>
              <i n="[Tabla3].[Fecha].&amp;[2023-03-06T00:00:00]" c="6/3/2023"/>
              <i n="[Tabla3].[Fecha].&amp;[2023-03-07T00:00:00]" c="7/3/2023"/>
              <i n="[Tabla3].[Fecha].&amp;[2023-03-08T00:00:00]" c="8/3/2023"/>
              <i n="[Tabla3].[Fecha].&amp;[2023-03-09T00:00:00]" c="9/3/2023"/>
              <i n="[Tabla3].[Fecha].&amp;[2023-03-10T00:00:00]" c="10/3/2023"/>
              <i n="[Tabla3].[Fecha].&amp;[2023-03-11T00:00:00]" c="11/3/2023"/>
              <i n="[Tabla3].[Fecha].&amp;[2023-03-12T00:00:00]" c="12/3/2023"/>
              <i n="[Tabla3].[Fecha].&amp;[2023-04-02T00:00:00]" c="2/4/2023"/>
              <i n="[Tabla3].[Fecha].&amp;[2023-04-04T00:00:00]" c="4/4/2023"/>
              <i n="[Tabla3].[Fecha].&amp;[2023-04-05T00:00:00]" c="5/4/2023"/>
              <i n="[Tabla3].[Fecha].&amp;[2023-04-06T00:00:00]" c="6/4/2023"/>
              <i n="[Tabla3].[Fecha].&amp;[2023-04-07T00:00:00]" c="7/4/2023"/>
              <i n="[Tabla3].[Fecha].&amp;[2023-04-08T00:00:00]" c="8/4/2023"/>
              <i n="[Tabla3].[Fecha].&amp;[2023-04-09T00:00:00]" c="9/4/2023"/>
              <i n="[Tabla3].[Fecha].&amp;[2023-04-10T00:00:00]" c="10/4/2023"/>
              <i n="[Tabla3].[Fecha].&amp;[2023-04-11T00:00:00]" c="11/4/2023"/>
              <i n="[Tabla3].[Fecha].&amp;[2023-04-12T00:00:00]" c="12/4/2023"/>
              <i n="[Tabla3].[Fecha].&amp;[2023-04-13T00:00:00]" c="13/4/2023"/>
              <i n="[Tabla3].[Fecha].&amp;[2023-05-04T00:00:00]" c="4/5/2023"/>
              <i n="[Tabla3].[Fecha].&amp;[2023-05-05T00:00:00]" c="5/5/2023"/>
              <i n="[Tabla3].[Fecha].&amp;[2023-05-06T00:00:00]" c="6/5/2023"/>
              <i n="[Tabla3].[Fecha].&amp;[2023-05-07T00:00:00]" c="7/5/2023"/>
              <i n="[Tabla3].[Fecha].&amp;[2023-05-08T00:00:00]" c="8/5/2023"/>
              <i n="[Tabla3].[Fecha].&amp;[2023-05-09T00:00:00]" c="9/5/2023"/>
              <i n="[Tabla3].[Fecha].&amp;[2023-05-10T00:00:00]" c="10/5/2023"/>
              <i n="[Tabla3].[Fecha].&amp;[2023-05-11T00:00:00]" c="11/5/2023"/>
              <i n="[Tabla3].[Fecha].&amp;[2023-05-12T00:00:00]" c="12/5/2023"/>
              <i n="[Tabla3].[Fecha].&amp;[2023-05-15T00:00:00]" c="15/5/2023"/>
              <i n="[Tabla3].[Fecha].&amp;[2023-06-05T00:00:00]" c="5/6/2023"/>
              <i n="[Tabla3].[Fecha].&amp;[2023-06-09T00:00:00]" c="9/6/2023"/>
              <i n="[Tabla3].[Fecha].&amp;[2023-06-10T00:00:00]" c="10/6/2023"/>
              <i n="[Tabla3].[Fecha].&amp;[2023-07-06T00:00:00]" c="6/7/2023"/>
              <i n="[Tabla3].[Fecha].&amp;[2023-07-10T00:00:00]" c="10/7/2023"/>
              <i n="[Tabla3].[Fecha].&amp;[2023-08-15T00:00:00]" c="15/8/2023"/>
              <i n="[Tabla3].[Fecha].&amp;[2023-09-20T00:00:00]" c="20/9/2023"/>
            </range>
          </ranges>
        </level>
      </levels>
      <selections count="1">
        <selection n="[Tabla3].[Fecha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ís" xr10:uid="{91D975C8-F569-4F9D-AE4A-D601311EE23E}" cache="SegmentaciónDeDatos_País" caption="País" level="1" rowHeight="234950"/>
  <slicer name="Sector" xr10:uid="{E8733BC0-9F93-4CAE-97FD-64F13AE97119}" cache="SegmentaciónDeDatos_Sector" caption="Sector" level="1" rowHeight="234950"/>
  <slicer name="Fecha" xr10:uid="{F9433864-B734-401D-BC86-1B46CE262A18}" cache="SegmentaciónDeDatos_Fecha" caption="Fecha" level="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B56110-0B60-4FC7-956E-170A9813A92C}" name="Tabla2" displayName="Tabla2" ref="A1:G61" totalsRowShown="0" headerRowDxfId="16" dataDxfId="15">
  <autoFilter ref="A1:G61" xr:uid="{8DB56110-0B60-4FC7-956E-170A9813A92C}"/>
  <tableColumns count="7">
    <tableColumn id="1" xr3:uid="{2602441C-9FB4-488F-BBB5-E1A13E2D2142}" name="ID" dataDxfId="14"/>
    <tableColumn id="2" xr3:uid="{3E37F01D-8E60-44BF-8807-9925074EB62D}" name="Nombre del Cliente" dataDxfId="13"/>
    <tableColumn id="3" xr3:uid="{6471BB44-49CD-400D-BF01-A004328DAD87}" name="País" dataDxfId="12"/>
    <tableColumn id="4" xr3:uid="{248D5F98-47C9-4A2B-8F73-5D6FFB1BA414}" name="Región" dataDxfId="11"/>
    <tableColumn id="5" xr3:uid="{E7CE1BCF-AF3A-4C97-8774-52D143CD8552}" name="Sector" dataDxfId="10"/>
    <tableColumn id="6" xr3:uid="{EF1FFD19-41BD-4392-A94B-B22C5EE05DA0}" name="Fecha de primer contacto" dataDxfId="9"/>
    <tableColumn id="7" xr3:uid="{86FD414E-5FB2-4F2C-8965-93199A88625C}" name="Frecuencia de compra (meses)" dataDxfId="8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EB7C74-778E-45EE-A73B-145A33ECA2C9}" name="Tabla3" displayName="Tabla3" ref="A1:F123" totalsRowShown="0" headerRowDxfId="7" dataDxfId="6">
  <autoFilter ref="A1:F123" xr:uid="{C5EB7C74-778E-45EE-A73B-145A33ECA2C9}"/>
  <tableColumns count="6">
    <tableColumn id="1" xr3:uid="{855C430B-5D6D-4040-B546-51B711CF02CF}" name="Fecha" dataDxfId="5"/>
    <tableColumn id="2" xr3:uid="{F263673A-C987-4B34-8A92-DF976406B82D}" name="ID Cliente" dataDxfId="4"/>
    <tableColumn id="3" xr3:uid="{84F25CF8-46C6-4B03-9EA8-EC91C71132FE}" name="Producto" dataDxfId="3"/>
    <tableColumn id="4" xr3:uid="{92EC7940-4478-4CD4-864F-9ACD5325D6A6}" name="Cantidad" dataDxfId="2"/>
    <tableColumn id="5" xr3:uid="{9A006649-CB08-4852-A742-AAB548E20142}" name="Precio Unitario" dataDxfId="1" dataCellStyle="Moneda"/>
    <tableColumn id="6" xr3:uid="{B1DA8642-8720-4DA1-B2C0-3BD210ACC0A5}" name="Monto 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8CDB1591-E1D4-4DDB-91A7-5FE5E95F03CC}" sourceName="Fecha">
  <pivotTables>
    <pivotTable tabId="8" name="TablaDinámica6"/>
    <pivotTable tabId="13" name="TablaDinámica8"/>
    <pivotTable tabId="8" name="TablaDinámica1"/>
  </pivotTables>
  <state minimalRefreshVersion="6" lastRefreshVersion="6" pivotCacheId="2028143898" filterType="dateBetween">
    <selection startDate="2023-04-01T00:00:00" endDate="2023-09-30T00:00:00"/>
    <bounds startDate="2023-01-01T00:00:00" endDate="202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1" xr10:uid="{DA255593-EA04-45DE-9707-29DA8CDF4DA2}" cache="NativeTimeline_Fecha" caption="Fecha" level="1" selectionLevel="1" scrollPosition="2023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11/relationships/timeline" Target="../timelines/timelin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F9B65-3030-4A02-A322-6346BEED5E26}">
  <dimension ref="A1:G61"/>
  <sheetViews>
    <sheetView tabSelected="1" zoomScaleNormal="100" workbookViewId="0">
      <selection activeCell="F9" sqref="F9"/>
    </sheetView>
  </sheetViews>
  <sheetFormatPr baseColWidth="10" defaultRowHeight="14.4" x14ac:dyDescent="0.3"/>
  <cols>
    <col min="2" max="2" width="19" customWidth="1"/>
    <col min="6" max="6" width="24.21875" customWidth="1"/>
    <col min="7" max="7" width="28.33203125" customWidth="1"/>
  </cols>
  <sheetData>
    <row r="1" spans="1:7" ht="40.799999999999997" customHeight="1" x14ac:dyDescent="0.3">
      <c r="A1" s="4" t="s">
        <v>42</v>
      </c>
      <c r="B1" s="4" t="s">
        <v>43</v>
      </c>
      <c r="C1" s="4" t="s">
        <v>3</v>
      </c>
      <c r="D1" s="4" t="s">
        <v>2</v>
      </c>
      <c r="E1" s="4" t="s">
        <v>44</v>
      </c>
      <c r="F1" s="4" t="s">
        <v>45</v>
      </c>
      <c r="G1" s="4" t="s">
        <v>46</v>
      </c>
    </row>
    <row r="2" spans="1:7" x14ac:dyDescent="0.3">
      <c r="A2" s="1" t="s">
        <v>8</v>
      </c>
      <c r="B2" s="1" t="s">
        <v>9</v>
      </c>
      <c r="C2" s="1" t="s">
        <v>11</v>
      </c>
      <c r="D2" s="1" t="s">
        <v>10</v>
      </c>
      <c r="E2" s="1" t="s">
        <v>12</v>
      </c>
      <c r="F2" s="2">
        <v>44656</v>
      </c>
      <c r="G2" s="1">
        <v>2</v>
      </c>
    </row>
    <row r="3" spans="1:7" x14ac:dyDescent="0.3">
      <c r="A3" s="1" t="s">
        <v>15</v>
      </c>
      <c r="B3" s="1" t="s">
        <v>16</v>
      </c>
      <c r="C3" s="1" t="s">
        <v>17</v>
      </c>
      <c r="D3" s="1" t="s">
        <v>10</v>
      </c>
      <c r="E3" s="1" t="s">
        <v>47</v>
      </c>
      <c r="F3" s="2">
        <v>45092</v>
      </c>
      <c r="G3" s="1">
        <v>3</v>
      </c>
    </row>
    <row r="4" spans="1:7" x14ac:dyDescent="0.3">
      <c r="A4" s="1" t="s">
        <v>19</v>
      </c>
      <c r="B4" s="1" t="s">
        <v>20</v>
      </c>
      <c r="C4" s="1" t="s">
        <v>22</v>
      </c>
      <c r="D4" s="1" t="s">
        <v>21</v>
      </c>
      <c r="E4" s="1" t="s">
        <v>48</v>
      </c>
      <c r="F4" s="2">
        <v>44460</v>
      </c>
      <c r="G4" s="1">
        <v>1</v>
      </c>
    </row>
    <row r="5" spans="1:7" ht="28.8" x14ac:dyDescent="0.3">
      <c r="A5" s="1" t="s">
        <v>24</v>
      </c>
      <c r="B5" s="1" t="s">
        <v>49</v>
      </c>
      <c r="C5" s="1" t="s">
        <v>27</v>
      </c>
      <c r="D5" s="1" t="s">
        <v>10</v>
      </c>
      <c r="E5" s="1" t="s">
        <v>50</v>
      </c>
      <c r="F5" s="2">
        <v>44967</v>
      </c>
      <c r="G5" s="1">
        <v>2</v>
      </c>
    </row>
    <row r="6" spans="1:7" x14ac:dyDescent="0.3">
      <c r="A6" s="1" t="s">
        <v>26</v>
      </c>
      <c r="B6" s="1" t="s">
        <v>51</v>
      </c>
      <c r="C6" s="1" t="s">
        <v>35</v>
      </c>
      <c r="D6" s="1" t="s">
        <v>21</v>
      </c>
      <c r="E6" s="1" t="s">
        <v>12</v>
      </c>
      <c r="F6" s="2">
        <v>44648</v>
      </c>
      <c r="G6" s="1">
        <v>4</v>
      </c>
    </row>
    <row r="7" spans="1:7" x14ac:dyDescent="0.3">
      <c r="A7" s="1" t="s">
        <v>31</v>
      </c>
      <c r="B7" s="1" t="s">
        <v>52</v>
      </c>
      <c r="C7" s="1" t="s">
        <v>37</v>
      </c>
      <c r="D7" s="1" t="s">
        <v>10</v>
      </c>
      <c r="E7" s="1" t="s">
        <v>48</v>
      </c>
      <c r="F7" s="2">
        <v>45121</v>
      </c>
      <c r="G7" s="1">
        <v>3</v>
      </c>
    </row>
    <row r="8" spans="1:7" ht="28.8" x14ac:dyDescent="0.3">
      <c r="A8" s="1" t="s">
        <v>34</v>
      </c>
      <c r="B8" s="1" t="s">
        <v>53</v>
      </c>
      <c r="C8" s="1" t="s">
        <v>41</v>
      </c>
      <c r="D8" s="1" t="s">
        <v>10</v>
      </c>
      <c r="E8" s="1" t="s">
        <v>54</v>
      </c>
      <c r="F8" s="2">
        <v>44563</v>
      </c>
      <c r="G8" s="1">
        <v>2</v>
      </c>
    </row>
    <row r="9" spans="1:7" ht="28.8" x14ac:dyDescent="0.3">
      <c r="A9" s="1" t="s">
        <v>36</v>
      </c>
      <c r="B9" s="1" t="s">
        <v>55</v>
      </c>
      <c r="C9" s="1" t="s">
        <v>56</v>
      </c>
      <c r="D9" s="1" t="s">
        <v>21</v>
      </c>
      <c r="E9" s="1" t="s">
        <v>57</v>
      </c>
      <c r="F9" s="2">
        <v>44458</v>
      </c>
      <c r="G9" s="1">
        <v>3</v>
      </c>
    </row>
    <row r="10" spans="1:7" x14ac:dyDescent="0.3">
      <c r="A10" s="1" t="s">
        <v>38</v>
      </c>
      <c r="B10" s="1" t="s">
        <v>58</v>
      </c>
      <c r="C10" s="1" t="s">
        <v>59</v>
      </c>
      <c r="D10" s="1" t="s">
        <v>10</v>
      </c>
      <c r="E10" s="1" t="s">
        <v>18</v>
      </c>
      <c r="F10" s="2">
        <v>44719</v>
      </c>
      <c r="G10" s="1">
        <v>2</v>
      </c>
    </row>
    <row r="11" spans="1:7" x14ac:dyDescent="0.3">
      <c r="A11" s="1" t="s">
        <v>40</v>
      </c>
      <c r="B11" s="1" t="s">
        <v>60</v>
      </c>
      <c r="C11" s="1" t="s">
        <v>33</v>
      </c>
      <c r="D11" s="1" t="s">
        <v>32</v>
      </c>
      <c r="E11" s="1" t="s">
        <v>61</v>
      </c>
      <c r="F11" s="2">
        <v>44788</v>
      </c>
      <c r="G11" s="1">
        <v>1</v>
      </c>
    </row>
    <row r="12" spans="1:7" ht="28.8" x14ac:dyDescent="0.3">
      <c r="A12" s="1" t="s">
        <v>62</v>
      </c>
      <c r="B12" s="1" t="s">
        <v>63</v>
      </c>
      <c r="C12" s="1" t="s">
        <v>41</v>
      </c>
      <c r="D12" s="1" t="s">
        <v>10</v>
      </c>
      <c r="E12" s="1" t="s">
        <v>50</v>
      </c>
      <c r="F12" s="2">
        <v>45235</v>
      </c>
      <c r="G12" s="1">
        <v>3</v>
      </c>
    </row>
    <row r="13" spans="1:7" x14ac:dyDescent="0.3">
      <c r="A13" s="1" t="s">
        <v>64</v>
      </c>
      <c r="B13" s="1" t="s">
        <v>65</v>
      </c>
      <c r="C13" s="1" t="s">
        <v>11</v>
      </c>
      <c r="D13" s="1" t="s">
        <v>10</v>
      </c>
      <c r="E13" s="1" t="s">
        <v>66</v>
      </c>
      <c r="F13" s="2">
        <v>44936</v>
      </c>
      <c r="G13" s="1">
        <v>2</v>
      </c>
    </row>
    <row r="14" spans="1:7" x14ac:dyDescent="0.3">
      <c r="A14" s="1" t="s">
        <v>67</v>
      </c>
      <c r="B14" s="1" t="s">
        <v>68</v>
      </c>
      <c r="C14" s="1" t="s">
        <v>22</v>
      </c>
      <c r="D14" s="1" t="s">
        <v>21</v>
      </c>
      <c r="E14" s="1" t="s">
        <v>48</v>
      </c>
      <c r="F14" s="2">
        <v>44760</v>
      </c>
      <c r="G14" s="1">
        <v>2</v>
      </c>
    </row>
    <row r="15" spans="1:7" x14ac:dyDescent="0.3">
      <c r="A15" s="1" t="s">
        <v>69</v>
      </c>
      <c r="B15" s="1" t="s">
        <v>70</v>
      </c>
      <c r="C15" s="1" t="s">
        <v>71</v>
      </c>
      <c r="D15" s="1" t="s">
        <v>10</v>
      </c>
      <c r="E15" s="1" t="s">
        <v>72</v>
      </c>
      <c r="F15" s="2">
        <v>44450</v>
      </c>
      <c r="G15" s="1">
        <v>4</v>
      </c>
    </row>
    <row r="16" spans="1:7" x14ac:dyDescent="0.3">
      <c r="A16" s="1" t="s">
        <v>73</v>
      </c>
      <c r="B16" s="1" t="s">
        <v>74</v>
      </c>
      <c r="C16" s="1" t="s">
        <v>75</v>
      </c>
      <c r="D16" s="1" t="s">
        <v>10</v>
      </c>
      <c r="E16" s="1" t="s">
        <v>76</v>
      </c>
      <c r="F16" s="2">
        <v>45010</v>
      </c>
      <c r="G16" s="1">
        <v>1</v>
      </c>
    </row>
    <row r="17" spans="1:7" x14ac:dyDescent="0.3">
      <c r="A17" s="1" t="s">
        <v>77</v>
      </c>
      <c r="B17" s="1" t="s">
        <v>78</v>
      </c>
      <c r="C17" s="1" t="s">
        <v>79</v>
      </c>
      <c r="D17" s="1" t="s">
        <v>21</v>
      </c>
      <c r="E17" s="1" t="s">
        <v>12</v>
      </c>
      <c r="F17" s="2">
        <v>44687</v>
      </c>
      <c r="G17" s="1">
        <v>3</v>
      </c>
    </row>
    <row r="18" spans="1:7" x14ac:dyDescent="0.3">
      <c r="A18" s="1" t="s">
        <v>80</v>
      </c>
      <c r="B18" s="1" t="s">
        <v>81</v>
      </c>
      <c r="C18" s="1" t="s">
        <v>17</v>
      </c>
      <c r="D18" s="1" t="s">
        <v>10</v>
      </c>
      <c r="E18" s="1" t="s">
        <v>82</v>
      </c>
      <c r="F18" s="2">
        <v>44417</v>
      </c>
      <c r="G18" s="1">
        <v>2</v>
      </c>
    </row>
    <row r="19" spans="1:7" x14ac:dyDescent="0.3">
      <c r="A19" s="1" t="s">
        <v>83</v>
      </c>
      <c r="B19" s="1" t="s">
        <v>84</v>
      </c>
      <c r="C19" s="1" t="s">
        <v>27</v>
      </c>
      <c r="D19" s="1" t="s">
        <v>10</v>
      </c>
      <c r="E19" s="1" t="s">
        <v>85</v>
      </c>
      <c r="F19" s="2">
        <v>44979</v>
      </c>
      <c r="G19" s="1">
        <v>4</v>
      </c>
    </row>
    <row r="20" spans="1:7" x14ac:dyDescent="0.3">
      <c r="A20" s="1" t="s">
        <v>86</v>
      </c>
      <c r="B20" s="1" t="s">
        <v>87</v>
      </c>
      <c r="C20" s="1" t="s">
        <v>37</v>
      </c>
      <c r="D20" s="1" t="s">
        <v>10</v>
      </c>
      <c r="E20" s="1" t="s">
        <v>18</v>
      </c>
      <c r="F20" s="2">
        <v>44665</v>
      </c>
      <c r="G20" s="1">
        <v>3</v>
      </c>
    </row>
    <row r="21" spans="1:7" ht="28.8" x14ac:dyDescent="0.3">
      <c r="A21" s="1" t="s">
        <v>88</v>
      </c>
      <c r="B21" s="1" t="s">
        <v>89</v>
      </c>
      <c r="C21" s="1" t="s">
        <v>90</v>
      </c>
      <c r="D21" s="1" t="s">
        <v>32</v>
      </c>
      <c r="E21" s="1" t="s">
        <v>61</v>
      </c>
      <c r="F21" s="2">
        <v>44898</v>
      </c>
      <c r="G21" s="1">
        <v>2</v>
      </c>
    </row>
    <row r="22" spans="1:7" ht="28.8" x14ac:dyDescent="0.3">
      <c r="A22" s="1" t="s">
        <v>91</v>
      </c>
      <c r="B22" s="1" t="s">
        <v>92</v>
      </c>
      <c r="C22" s="1" t="s">
        <v>41</v>
      </c>
      <c r="D22" s="1" t="s">
        <v>10</v>
      </c>
      <c r="E22" s="1" t="s">
        <v>50</v>
      </c>
      <c r="F22" s="2">
        <v>44946</v>
      </c>
      <c r="G22" s="1">
        <v>2</v>
      </c>
    </row>
    <row r="23" spans="1:7" x14ac:dyDescent="0.3">
      <c r="A23" s="1" t="s">
        <v>93</v>
      </c>
      <c r="B23" s="1" t="s">
        <v>94</v>
      </c>
      <c r="C23" s="1" t="s">
        <v>17</v>
      </c>
      <c r="D23" s="1" t="s">
        <v>10</v>
      </c>
      <c r="E23" s="1" t="s">
        <v>48</v>
      </c>
      <c r="F23" s="2">
        <v>44723</v>
      </c>
      <c r="G23" s="1">
        <v>3</v>
      </c>
    </row>
    <row r="24" spans="1:7" x14ac:dyDescent="0.3">
      <c r="A24" s="1" t="s">
        <v>95</v>
      </c>
      <c r="B24" s="1" t="s">
        <v>96</v>
      </c>
      <c r="C24" s="1" t="s">
        <v>97</v>
      </c>
      <c r="D24" s="1" t="s">
        <v>21</v>
      </c>
      <c r="E24" s="1" t="s">
        <v>12</v>
      </c>
      <c r="F24" s="2">
        <v>44469</v>
      </c>
      <c r="G24" s="1">
        <v>2</v>
      </c>
    </row>
    <row r="25" spans="1:7" x14ac:dyDescent="0.3">
      <c r="A25" s="1" t="s">
        <v>98</v>
      </c>
      <c r="B25" s="1" t="s">
        <v>99</v>
      </c>
      <c r="C25" s="1" t="s">
        <v>11</v>
      </c>
      <c r="D25" s="1" t="s">
        <v>10</v>
      </c>
      <c r="E25" s="1" t="s">
        <v>47</v>
      </c>
      <c r="F25" s="2">
        <v>44663</v>
      </c>
      <c r="G25" s="1">
        <v>3</v>
      </c>
    </row>
    <row r="26" spans="1:7" x14ac:dyDescent="0.3">
      <c r="A26" s="1" t="s">
        <v>100</v>
      </c>
      <c r="B26" s="1" t="s">
        <v>101</v>
      </c>
      <c r="C26" s="1" t="s">
        <v>102</v>
      </c>
      <c r="D26" s="1" t="s">
        <v>32</v>
      </c>
      <c r="E26" s="1" t="s">
        <v>18</v>
      </c>
      <c r="F26" s="2">
        <v>45112</v>
      </c>
      <c r="G26" s="1">
        <v>4</v>
      </c>
    </row>
    <row r="27" spans="1:7" ht="28.8" x14ac:dyDescent="0.3">
      <c r="A27" s="1" t="s">
        <v>103</v>
      </c>
      <c r="B27" s="1" t="s">
        <v>104</v>
      </c>
      <c r="C27" s="1" t="s">
        <v>105</v>
      </c>
      <c r="D27" s="1" t="s">
        <v>10</v>
      </c>
      <c r="E27" s="1" t="s">
        <v>72</v>
      </c>
      <c r="F27" s="2">
        <v>44477</v>
      </c>
      <c r="G27" s="1">
        <v>3</v>
      </c>
    </row>
    <row r="28" spans="1:7" ht="28.8" x14ac:dyDescent="0.3">
      <c r="A28" s="1" t="s">
        <v>106</v>
      </c>
      <c r="B28" s="1" t="s">
        <v>107</v>
      </c>
      <c r="C28" s="1" t="s">
        <v>71</v>
      </c>
      <c r="D28" s="1" t="s">
        <v>10</v>
      </c>
      <c r="E28" s="1" t="s">
        <v>50</v>
      </c>
      <c r="F28" s="2">
        <v>44943</v>
      </c>
      <c r="G28" s="1">
        <v>2</v>
      </c>
    </row>
    <row r="29" spans="1:7" x14ac:dyDescent="0.3">
      <c r="A29" s="1" t="s">
        <v>108</v>
      </c>
      <c r="B29" s="1" t="s">
        <v>109</v>
      </c>
      <c r="C29" s="1" t="s">
        <v>110</v>
      </c>
      <c r="D29" s="1" t="s">
        <v>21</v>
      </c>
      <c r="E29" s="1" t="s">
        <v>66</v>
      </c>
      <c r="F29" s="2">
        <v>44630</v>
      </c>
      <c r="G29" s="1">
        <v>2</v>
      </c>
    </row>
    <row r="30" spans="1:7" x14ac:dyDescent="0.3">
      <c r="A30" s="1" t="s">
        <v>111</v>
      </c>
      <c r="B30" s="1" t="s">
        <v>112</v>
      </c>
      <c r="C30" s="1" t="s">
        <v>11</v>
      </c>
      <c r="D30" s="1" t="s">
        <v>10</v>
      </c>
      <c r="E30" s="1" t="s">
        <v>57</v>
      </c>
      <c r="F30" s="2">
        <v>44441</v>
      </c>
      <c r="G30" s="1">
        <v>1</v>
      </c>
    </row>
    <row r="31" spans="1:7" x14ac:dyDescent="0.3">
      <c r="A31" s="1" t="s">
        <v>113</v>
      </c>
      <c r="B31" s="1" t="s">
        <v>114</v>
      </c>
      <c r="C31" s="1" t="s">
        <v>115</v>
      </c>
      <c r="D31" s="1" t="s">
        <v>21</v>
      </c>
      <c r="E31" s="1" t="s">
        <v>12</v>
      </c>
      <c r="F31" s="2">
        <v>44696</v>
      </c>
      <c r="G31" s="1">
        <v>3</v>
      </c>
    </row>
    <row r="32" spans="1:7" x14ac:dyDescent="0.3">
      <c r="A32" s="1" t="s">
        <v>116</v>
      </c>
      <c r="B32" s="1" t="s">
        <v>117</v>
      </c>
      <c r="C32" s="1" t="s">
        <v>33</v>
      </c>
      <c r="D32" s="1" t="s">
        <v>32</v>
      </c>
      <c r="E32" s="1" t="s">
        <v>72</v>
      </c>
      <c r="F32" s="2">
        <v>44505</v>
      </c>
      <c r="G32" s="1">
        <v>2</v>
      </c>
    </row>
    <row r="33" spans="1:7" ht="28.8" x14ac:dyDescent="0.3">
      <c r="A33" s="1" t="s">
        <v>118</v>
      </c>
      <c r="B33" s="1" t="s">
        <v>119</v>
      </c>
      <c r="C33" s="1" t="s">
        <v>59</v>
      </c>
      <c r="D33" s="1" t="s">
        <v>10</v>
      </c>
      <c r="E33" s="1" t="s">
        <v>50</v>
      </c>
      <c r="F33" s="2">
        <v>44980</v>
      </c>
      <c r="G33" s="1">
        <v>3</v>
      </c>
    </row>
    <row r="34" spans="1:7" x14ac:dyDescent="0.3">
      <c r="A34" s="1" t="s">
        <v>120</v>
      </c>
      <c r="B34" s="1" t="s">
        <v>121</v>
      </c>
      <c r="C34" s="1" t="s">
        <v>35</v>
      </c>
      <c r="D34" s="1" t="s">
        <v>21</v>
      </c>
      <c r="E34" s="1" t="s">
        <v>47</v>
      </c>
      <c r="F34" s="2">
        <v>44724</v>
      </c>
      <c r="G34" s="1">
        <v>3</v>
      </c>
    </row>
    <row r="35" spans="1:7" x14ac:dyDescent="0.3">
      <c r="A35" s="1" t="s">
        <v>122</v>
      </c>
      <c r="B35" s="1" t="s">
        <v>123</v>
      </c>
      <c r="C35" s="1" t="s">
        <v>41</v>
      </c>
      <c r="D35" s="1" t="s">
        <v>10</v>
      </c>
      <c r="E35" s="1" t="s">
        <v>48</v>
      </c>
      <c r="F35" s="2">
        <v>45125</v>
      </c>
      <c r="G35" s="1">
        <v>1</v>
      </c>
    </row>
    <row r="36" spans="1:7" x14ac:dyDescent="0.3">
      <c r="A36" s="1" t="s">
        <v>124</v>
      </c>
      <c r="B36" s="1" t="s">
        <v>125</v>
      </c>
      <c r="C36" s="1" t="s">
        <v>22</v>
      </c>
      <c r="D36" s="1" t="s">
        <v>21</v>
      </c>
      <c r="E36" s="1" t="s">
        <v>18</v>
      </c>
      <c r="F36" s="2">
        <v>44583</v>
      </c>
      <c r="G36" s="1">
        <v>2</v>
      </c>
    </row>
    <row r="37" spans="1:7" x14ac:dyDescent="0.3">
      <c r="A37" s="1" t="s">
        <v>126</v>
      </c>
      <c r="B37" s="1" t="s">
        <v>127</v>
      </c>
      <c r="C37" s="1" t="s">
        <v>39</v>
      </c>
      <c r="D37" s="1" t="s">
        <v>32</v>
      </c>
      <c r="E37" s="1" t="s">
        <v>66</v>
      </c>
      <c r="F37" s="2">
        <v>44629</v>
      </c>
      <c r="G37" s="1">
        <v>3</v>
      </c>
    </row>
    <row r="38" spans="1:7" ht="28.8" x14ac:dyDescent="0.3">
      <c r="A38" s="1" t="s">
        <v>128</v>
      </c>
      <c r="B38" s="1" t="s">
        <v>129</v>
      </c>
      <c r="C38" s="1" t="s">
        <v>130</v>
      </c>
      <c r="D38" s="1" t="s">
        <v>10</v>
      </c>
      <c r="E38" s="1" t="s">
        <v>50</v>
      </c>
      <c r="F38" s="2">
        <v>45074</v>
      </c>
      <c r="G38" s="1">
        <v>4</v>
      </c>
    </row>
    <row r="39" spans="1:7" x14ac:dyDescent="0.3">
      <c r="A39" s="1" t="s">
        <v>131</v>
      </c>
      <c r="B39" s="1" t="s">
        <v>132</v>
      </c>
      <c r="C39" s="1" t="s">
        <v>75</v>
      </c>
      <c r="D39" s="1" t="s">
        <v>10</v>
      </c>
      <c r="E39" s="1" t="s">
        <v>76</v>
      </c>
      <c r="F39" s="2">
        <v>44744</v>
      </c>
      <c r="G39" s="1">
        <v>1</v>
      </c>
    </row>
    <row r="40" spans="1:7" x14ac:dyDescent="0.3">
      <c r="A40" s="1" t="s">
        <v>133</v>
      </c>
      <c r="B40" s="1" t="s">
        <v>134</v>
      </c>
      <c r="C40" s="1" t="s">
        <v>41</v>
      </c>
      <c r="D40" s="1" t="s">
        <v>10</v>
      </c>
      <c r="E40" s="1" t="s">
        <v>72</v>
      </c>
      <c r="F40" s="2">
        <v>44454</v>
      </c>
      <c r="G40" s="1">
        <v>2</v>
      </c>
    </row>
    <row r="41" spans="1:7" x14ac:dyDescent="0.3">
      <c r="A41" s="1" t="s">
        <v>135</v>
      </c>
      <c r="B41" s="1" t="s">
        <v>136</v>
      </c>
      <c r="C41" s="1" t="s">
        <v>17</v>
      </c>
      <c r="D41" s="1" t="s">
        <v>10</v>
      </c>
      <c r="E41" s="1" t="s">
        <v>47</v>
      </c>
      <c r="F41" s="2">
        <v>44962</v>
      </c>
      <c r="G41" s="1">
        <v>2</v>
      </c>
    </row>
    <row r="42" spans="1:7" x14ac:dyDescent="0.3">
      <c r="A42" s="1" t="s">
        <v>137</v>
      </c>
      <c r="B42" s="1" t="s">
        <v>138</v>
      </c>
      <c r="C42" s="1" t="s">
        <v>139</v>
      </c>
      <c r="D42" s="1" t="s">
        <v>21</v>
      </c>
      <c r="E42" s="1" t="s">
        <v>12</v>
      </c>
      <c r="F42" s="2">
        <v>44842</v>
      </c>
      <c r="G42" s="1">
        <v>4</v>
      </c>
    </row>
    <row r="43" spans="1:7" x14ac:dyDescent="0.3">
      <c r="A43" s="1" t="s">
        <v>140</v>
      </c>
      <c r="B43" s="1" t="s">
        <v>141</v>
      </c>
      <c r="C43" s="1" t="s">
        <v>115</v>
      </c>
      <c r="D43" s="1" t="s">
        <v>21</v>
      </c>
      <c r="E43" s="1" t="s">
        <v>18</v>
      </c>
      <c r="F43" s="2">
        <v>44540</v>
      </c>
      <c r="G43" s="1">
        <v>2</v>
      </c>
    </row>
    <row r="44" spans="1:7" x14ac:dyDescent="0.3">
      <c r="A44" s="1" t="s">
        <v>142</v>
      </c>
      <c r="B44" s="1" t="s">
        <v>143</v>
      </c>
      <c r="C44" s="1" t="s">
        <v>144</v>
      </c>
      <c r="D44" s="1" t="s">
        <v>10</v>
      </c>
      <c r="E44" s="1" t="s">
        <v>48</v>
      </c>
      <c r="F44" s="2">
        <v>44938</v>
      </c>
      <c r="G44" s="1">
        <v>3</v>
      </c>
    </row>
    <row r="45" spans="1:7" ht="28.8" x14ac:dyDescent="0.3">
      <c r="A45" s="1" t="s">
        <v>145</v>
      </c>
      <c r="B45" s="1" t="s">
        <v>146</v>
      </c>
      <c r="C45" s="1" t="s">
        <v>105</v>
      </c>
      <c r="D45" s="1" t="s">
        <v>10</v>
      </c>
      <c r="E45" s="1" t="s">
        <v>47</v>
      </c>
      <c r="F45" s="2">
        <v>45019</v>
      </c>
      <c r="G45" s="1">
        <v>3</v>
      </c>
    </row>
    <row r="46" spans="1:7" ht="28.8" x14ac:dyDescent="0.3">
      <c r="A46" s="1" t="s">
        <v>147</v>
      </c>
      <c r="B46" s="1" t="s">
        <v>148</v>
      </c>
      <c r="C46" s="1" t="s">
        <v>41</v>
      </c>
      <c r="D46" s="1" t="s">
        <v>10</v>
      </c>
      <c r="E46" s="1" t="s">
        <v>50</v>
      </c>
      <c r="F46" s="2">
        <v>44821</v>
      </c>
      <c r="G46" s="1">
        <v>1</v>
      </c>
    </row>
    <row r="47" spans="1:7" x14ac:dyDescent="0.3">
      <c r="A47" s="1" t="s">
        <v>149</v>
      </c>
      <c r="B47" s="1" t="s">
        <v>150</v>
      </c>
      <c r="C47" s="1" t="s">
        <v>151</v>
      </c>
      <c r="D47" s="1" t="s">
        <v>21</v>
      </c>
      <c r="E47" s="1" t="s">
        <v>66</v>
      </c>
      <c r="F47" s="2">
        <v>44692</v>
      </c>
      <c r="G47" s="1">
        <v>3</v>
      </c>
    </row>
    <row r="48" spans="1:7" x14ac:dyDescent="0.3">
      <c r="A48" s="1" t="s">
        <v>152</v>
      </c>
      <c r="B48" s="1" t="s">
        <v>153</v>
      </c>
      <c r="C48" s="1" t="s">
        <v>11</v>
      </c>
      <c r="D48" s="1" t="s">
        <v>10</v>
      </c>
      <c r="E48" s="1" t="s">
        <v>57</v>
      </c>
      <c r="F48" s="2">
        <v>44422</v>
      </c>
      <c r="G48" s="1">
        <v>2</v>
      </c>
    </row>
    <row r="49" spans="1:7" x14ac:dyDescent="0.3">
      <c r="A49" s="1" t="s">
        <v>154</v>
      </c>
      <c r="B49" s="1" t="s">
        <v>155</v>
      </c>
      <c r="C49" s="1" t="s">
        <v>27</v>
      </c>
      <c r="D49" s="1" t="s">
        <v>10</v>
      </c>
      <c r="E49" s="1" t="s">
        <v>76</v>
      </c>
      <c r="F49" s="2">
        <v>44640</v>
      </c>
      <c r="G49" s="1">
        <v>2</v>
      </c>
    </row>
    <row r="50" spans="1:7" ht="28.8" x14ac:dyDescent="0.3">
      <c r="A50" s="1" t="s">
        <v>156</v>
      </c>
      <c r="B50" s="1" t="s">
        <v>157</v>
      </c>
      <c r="C50" s="1" t="s">
        <v>17</v>
      </c>
      <c r="D50" s="1" t="s">
        <v>10</v>
      </c>
      <c r="E50" s="1" t="s">
        <v>50</v>
      </c>
      <c r="F50" s="2">
        <v>44871</v>
      </c>
      <c r="G50" s="1">
        <v>3</v>
      </c>
    </row>
    <row r="51" spans="1:7" x14ac:dyDescent="0.3">
      <c r="A51" s="1" t="s">
        <v>158</v>
      </c>
      <c r="B51" s="1" t="s">
        <v>159</v>
      </c>
      <c r="C51" s="1" t="s">
        <v>110</v>
      </c>
      <c r="D51" s="1" t="s">
        <v>21</v>
      </c>
      <c r="E51" s="1" t="s">
        <v>18</v>
      </c>
      <c r="F51" s="2">
        <v>44669</v>
      </c>
      <c r="G51" s="1">
        <v>4</v>
      </c>
    </row>
    <row r="52" spans="1:7" x14ac:dyDescent="0.3">
      <c r="A52" s="1" t="s">
        <v>160</v>
      </c>
      <c r="B52" s="1" t="s">
        <v>161</v>
      </c>
      <c r="C52" s="1" t="s">
        <v>75</v>
      </c>
      <c r="D52" s="1" t="s">
        <v>10</v>
      </c>
      <c r="E52" s="1" t="s">
        <v>12</v>
      </c>
      <c r="F52" s="2">
        <v>45132</v>
      </c>
      <c r="G52" s="1">
        <v>3</v>
      </c>
    </row>
    <row r="53" spans="1:7" x14ac:dyDescent="0.3">
      <c r="A53" s="1" t="s">
        <v>162</v>
      </c>
      <c r="B53" s="1" t="s">
        <v>163</v>
      </c>
      <c r="C53" s="1" t="s">
        <v>11</v>
      </c>
      <c r="D53" s="1" t="s">
        <v>10</v>
      </c>
      <c r="E53" s="1" t="s">
        <v>66</v>
      </c>
      <c r="F53" s="2">
        <v>44474</v>
      </c>
      <c r="G53" s="1">
        <v>2</v>
      </c>
    </row>
    <row r="54" spans="1:7" x14ac:dyDescent="0.3">
      <c r="A54" s="1" t="s">
        <v>164</v>
      </c>
      <c r="B54" s="1" t="s">
        <v>165</v>
      </c>
      <c r="C54" s="1" t="s">
        <v>41</v>
      </c>
      <c r="D54" s="1" t="s">
        <v>10</v>
      </c>
      <c r="E54" s="1" t="s">
        <v>18</v>
      </c>
      <c r="F54" s="2">
        <v>44976</v>
      </c>
      <c r="G54" s="1">
        <v>2</v>
      </c>
    </row>
    <row r="55" spans="1:7" x14ac:dyDescent="0.3">
      <c r="A55" s="1" t="s">
        <v>166</v>
      </c>
      <c r="B55" s="1" t="s">
        <v>167</v>
      </c>
      <c r="C55" s="1" t="s">
        <v>22</v>
      </c>
      <c r="D55" s="1" t="s">
        <v>21</v>
      </c>
      <c r="E55" s="1" t="s">
        <v>48</v>
      </c>
      <c r="F55" s="2">
        <v>44725</v>
      </c>
      <c r="G55" s="1">
        <v>3</v>
      </c>
    </row>
    <row r="56" spans="1:7" x14ac:dyDescent="0.3">
      <c r="A56" s="1" t="s">
        <v>168</v>
      </c>
      <c r="B56" s="1" t="s">
        <v>169</v>
      </c>
      <c r="C56" s="1" t="s">
        <v>33</v>
      </c>
      <c r="D56" s="1" t="s">
        <v>32</v>
      </c>
      <c r="E56" s="1" t="s">
        <v>47</v>
      </c>
      <c r="F56" s="2">
        <v>44812</v>
      </c>
      <c r="G56" s="1">
        <v>1</v>
      </c>
    </row>
    <row r="57" spans="1:7" x14ac:dyDescent="0.3">
      <c r="A57" s="1" t="s">
        <v>170</v>
      </c>
      <c r="B57" s="1" t="s">
        <v>171</v>
      </c>
      <c r="C57" s="1" t="s">
        <v>59</v>
      </c>
      <c r="D57" s="1" t="s">
        <v>10</v>
      </c>
      <c r="E57" s="1" t="s">
        <v>76</v>
      </c>
      <c r="F57" s="2">
        <v>44906</v>
      </c>
      <c r="G57" s="1">
        <v>2</v>
      </c>
    </row>
    <row r="58" spans="1:7" x14ac:dyDescent="0.3">
      <c r="A58" s="1" t="s">
        <v>172</v>
      </c>
      <c r="B58" s="1" t="s">
        <v>173</v>
      </c>
      <c r="C58" s="1" t="s">
        <v>35</v>
      </c>
      <c r="D58" s="1" t="s">
        <v>21</v>
      </c>
      <c r="E58" s="1" t="s">
        <v>12</v>
      </c>
      <c r="F58" s="2">
        <v>44709</v>
      </c>
      <c r="G58" s="1">
        <v>3</v>
      </c>
    </row>
    <row r="59" spans="1:7" x14ac:dyDescent="0.3">
      <c r="A59" s="1" t="s">
        <v>174</v>
      </c>
      <c r="B59" s="1" t="s">
        <v>175</v>
      </c>
      <c r="C59" s="1" t="s">
        <v>41</v>
      </c>
      <c r="D59" s="1" t="s">
        <v>10</v>
      </c>
      <c r="E59" s="1" t="s">
        <v>48</v>
      </c>
      <c r="F59" s="2">
        <v>45000</v>
      </c>
      <c r="G59" s="1">
        <v>2</v>
      </c>
    </row>
    <row r="60" spans="1:7" ht="28.8" x14ac:dyDescent="0.3">
      <c r="A60" s="1" t="s">
        <v>176</v>
      </c>
      <c r="B60" s="1" t="s">
        <v>177</v>
      </c>
      <c r="C60" s="1" t="s">
        <v>90</v>
      </c>
      <c r="D60" s="1" t="s">
        <v>32</v>
      </c>
      <c r="E60" s="1" t="s">
        <v>72</v>
      </c>
      <c r="F60" s="2">
        <v>44490</v>
      </c>
      <c r="G60" s="1">
        <v>4</v>
      </c>
    </row>
    <row r="61" spans="1:7" x14ac:dyDescent="0.3">
      <c r="A61" s="1" t="s">
        <v>178</v>
      </c>
      <c r="B61" s="1" t="s">
        <v>179</v>
      </c>
      <c r="C61" s="1" t="s">
        <v>27</v>
      </c>
      <c r="D61" s="1" t="s">
        <v>10</v>
      </c>
      <c r="E61" s="1" t="s">
        <v>18</v>
      </c>
      <c r="F61" s="2">
        <v>45025</v>
      </c>
      <c r="G61" s="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2397-D58E-49AC-9DF5-A3D8D81F082F}">
  <dimension ref="A1:F123"/>
  <sheetViews>
    <sheetView workbookViewId="0">
      <selection activeCell="F3" sqref="F3"/>
    </sheetView>
  </sheetViews>
  <sheetFormatPr baseColWidth="10" defaultRowHeight="14.4" x14ac:dyDescent="0.3"/>
  <cols>
    <col min="1" max="1" width="10.33203125" bestFit="1" customWidth="1"/>
    <col min="2" max="2" width="13.44140625" bestFit="1" customWidth="1"/>
    <col min="3" max="3" width="16.33203125" bestFit="1" customWidth="1"/>
    <col min="5" max="5" width="17.88671875" bestFit="1" customWidth="1"/>
    <col min="6" max="6" width="15.88671875" bestFit="1" customWidth="1"/>
    <col min="9" max="9" width="15.109375" customWidth="1"/>
    <col min="10" max="10" width="13.109375" customWidth="1"/>
  </cols>
  <sheetData>
    <row r="1" spans="1:6" ht="22.8" customHeight="1" x14ac:dyDescent="0.3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  <c r="F1" s="3" t="s">
        <v>7</v>
      </c>
    </row>
    <row r="2" spans="1:6" x14ac:dyDescent="0.3">
      <c r="A2" s="2">
        <v>44931</v>
      </c>
      <c r="B2" s="1" t="s">
        <v>8</v>
      </c>
      <c r="C2" s="1" t="s">
        <v>180</v>
      </c>
      <c r="D2" s="1">
        <v>120</v>
      </c>
      <c r="E2" s="5" t="s">
        <v>13</v>
      </c>
      <c r="F2" s="1">
        <v>600</v>
      </c>
    </row>
    <row r="3" spans="1:6" x14ac:dyDescent="0.3">
      <c r="A3" s="2">
        <v>44967</v>
      </c>
      <c r="B3" s="1" t="s">
        <v>8</v>
      </c>
      <c r="C3" s="1" t="s">
        <v>180</v>
      </c>
      <c r="D3" s="1">
        <v>100</v>
      </c>
      <c r="E3" s="5" t="s">
        <v>13</v>
      </c>
      <c r="F3" s="1">
        <v>500</v>
      </c>
    </row>
    <row r="4" spans="1:6" x14ac:dyDescent="0.3">
      <c r="A4" s="2">
        <v>44990</v>
      </c>
      <c r="B4" s="1" t="s">
        <v>8</v>
      </c>
      <c r="C4" s="1" t="s">
        <v>180</v>
      </c>
      <c r="D4" s="1">
        <v>130</v>
      </c>
      <c r="E4" s="5" t="s">
        <v>13</v>
      </c>
      <c r="F4" s="1">
        <v>650</v>
      </c>
    </row>
    <row r="5" spans="1:6" x14ac:dyDescent="0.3">
      <c r="A5" s="2">
        <v>44936</v>
      </c>
      <c r="B5" s="1" t="s">
        <v>15</v>
      </c>
      <c r="C5" s="1" t="s">
        <v>181</v>
      </c>
      <c r="D5" s="1">
        <v>3</v>
      </c>
      <c r="E5" s="6" t="s">
        <v>182</v>
      </c>
      <c r="F5" s="1">
        <v>3600</v>
      </c>
    </row>
    <row r="6" spans="1:6" x14ac:dyDescent="0.3">
      <c r="A6" s="2">
        <v>44997</v>
      </c>
      <c r="B6" s="1" t="s">
        <v>15</v>
      </c>
      <c r="C6" s="1" t="s">
        <v>183</v>
      </c>
      <c r="D6" s="1">
        <v>2</v>
      </c>
      <c r="E6" s="5" t="s">
        <v>184</v>
      </c>
      <c r="F6" s="1">
        <v>1600</v>
      </c>
    </row>
    <row r="7" spans="1:6" x14ac:dyDescent="0.3">
      <c r="A7" s="2">
        <v>45021</v>
      </c>
      <c r="B7" s="1" t="s">
        <v>15</v>
      </c>
      <c r="C7" s="1" t="s">
        <v>185</v>
      </c>
      <c r="D7" s="1">
        <v>1</v>
      </c>
      <c r="E7" s="5" t="s">
        <v>186</v>
      </c>
      <c r="F7" s="1">
        <v>900</v>
      </c>
    </row>
    <row r="8" spans="1:6" x14ac:dyDescent="0.3">
      <c r="A8" s="2">
        <v>44958</v>
      </c>
      <c r="B8" s="1" t="s">
        <v>19</v>
      </c>
      <c r="C8" s="1" t="s">
        <v>187</v>
      </c>
      <c r="D8" s="1">
        <v>60</v>
      </c>
      <c r="E8" s="5" t="s">
        <v>188</v>
      </c>
      <c r="F8" s="1">
        <v>900</v>
      </c>
    </row>
    <row r="9" spans="1:6" x14ac:dyDescent="0.3">
      <c r="A9" s="2">
        <v>45026</v>
      </c>
      <c r="B9" s="1" t="s">
        <v>19</v>
      </c>
      <c r="C9" s="1" t="s">
        <v>189</v>
      </c>
      <c r="D9" s="1">
        <v>40</v>
      </c>
      <c r="E9" s="5" t="s">
        <v>190</v>
      </c>
      <c r="F9" s="1">
        <v>880</v>
      </c>
    </row>
    <row r="10" spans="1:6" x14ac:dyDescent="0.3">
      <c r="A10" s="2">
        <v>45082</v>
      </c>
      <c r="B10" s="1" t="s">
        <v>24</v>
      </c>
      <c r="C10" s="1" t="s">
        <v>28</v>
      </c>
      <c r="D10" s="1">
        <v>200</v>
      </c>
      <c r="E10" s="5" t="s">
        <v>191</v>
      </c>
      <c r="F10" s="1">
        <v>500</v>
      </c>
    </row>
    <row r="11" spans="1:6" ht="28.8" x14ac:dyDescent="0.3">
      <c r="A11" s="2">
        <v>45117</v>
      </c>
      <c r="B11" s="1" t="s">
        <v>24</v>
      </c>
      <c r="C11" s="1" t="s">
        <v>192</v>
      </c>
      <c r="D11" s="1">
        <v>300</v>
      </c>
      <c r="E11" s="5" t="s">
        <v>30</v>
      </c>
      <c r="F11" s="1">
        <v>540</v>
      </c>
    </row>
    <row r="12" spans="1:6" x14ac:dyDescent="0.3">
      <c r="A12" s="2">
        <v>45153</v>
      </c>
      <c r="B12" s="1" t="s">
        <v>26</v>
      </c>
      <c r="C12" s="1" t="s">
        <v>193</v>
      </c>
      <c r="D12" s="1">
        <v>180</v>
      </c>
      <c r="E12" s="5" t="s">
        <v>194</v>
      </c>
      <c r="F12" s="1">
        <v>1170</v>
      </c>
    </row>
    <row r="13" spans="1:6" x14ac:dyDescent="0.3">
      <c r="A13" s="2">
        <v>45189</v>
      </c>
      <c r="B13" s="1" t="s">
        <v>26</v>
      </c>
      <c r="C13" s="1" t="s">
        <v>195</v>
      </c>
      <c r="D13" s="1">
        <v>150</v>
      </c>
      <c r="E13" s="5" t="s">
        <v>196</v>
      </c>
      <c r="F13" s="1">
        <v>1080</v>
      </c>
    </row>
    <row r="14" spans="1:6" x14ac:dyDescent="0.3">
      <c r="A14" s="2">
        <v>44959</v>
      </c>
      <c r="B14" s="1" t="s">
        <v>31</v>
      </c>
      <c r="C14" s="1" t="s">
        <v>197</v>
      </c>
      <c r="D14" s="1">
        <v>50</v>
      </c>
      <c r="E14" s="5" t="s">
        <v>198</v>
      </c>
      <c r="F14" s="1">
        <v>1000</v>
      </c>
    </row>
    <row r="15" spans="1:6" ht="28.8" x14ac:dyDescent="0.3">
      <c r="A15" s="2">
        <v>45020</v>
      </c>
      <c r="B15" s="1" t="s">
        <v>31</v>
      </c>
      <c r="C15" s="1" t="s">
        <v>199</v>
      </c>
      <c r="D15" s="1">
        <v>40</v>
      </c>
      <c r="E15" s="5" t="s">
        <v>200</v>
      </c>
      <c r="F15" s="1">
        <v>1400</v>
      </c>
    </row>
    <row r="16" spans="1:6" ht="28.8" x14ac:dyDescent="0.3">
      <c r="A16" s="2">
        <v>45051</v>
      </c>
      <c r="B16" s="1" t="s">
        <v>34</v>
      </c>
      <c r="C16" s="1" t="s">
        <v>201</v>
      </c>
      <c r="D16" s="1">
        <v>70</v>
      </c>
      <c r="E16" s="5" t="s">
        <v>202</v>
      </c>
      <c r="F16" s="1">
        <v>1750</v>
      </c>
    </row>
    <row r="17" spans="1:6" ht="28.8" x14ac:dyDescent="0.3">
      <c r="A17" s="2">
        <v>45113</v>
      </c>
      <c r="B17" s="1" t="s">
        <v>34</v>
      </c>
      <c r="C17" s="1" t="s">
        <v>203</v>
      </c>
      <c r="D17" s="1">
        <v>50</v>
      </c>
      <c r="E17" s="5" t="s">
        <v>204</v>
      </c>
      <c r="F17" s="1">
        <v>1500</v>
      </c>
    </row>
    <row r="18" spans="1:6" x14ac:dyDescent="0.3">
      <c r="A18" s="2">
        <v>44986</v>
      </c>
      <c r="B18" s="1" t="s">
        <v>36</v>
      </c>
      <c r="C18" s="1" t="s">
        <v>205</v>
      </c>
      <c r="D18" s="1">
        <v>60</v>
      </c>
      <c r="E18" s="5" t="s">
        <v>206</v>
      </c>
      <c r="F18" s="1">
        <v>1080</v>
      </c>
    </row>
    <row r="19" spans="1:6" x14ac:dyDescent="0.3">
      <c r="A19" s="2">
        <v>45026</v>
      </c>
      <c r="B19" s="1" t="s">
        <v>36</v>
      </c>
      <c r="C19" s="1" t="s">
        <v>207</v>
      </c>
      <c r="D19" s="1">
        <v>80</v>
      </c>
      <c r="E19" s="5" t="s">
        <v>188</v>
      </c>
      <c r="F19" s="1">
        <v>1200</v>
      </c>
    </row>
    <row r="20" spans="1:6" x14ac:dyDescent="0.3">
      <c r="A20" s="2">
        <v>45061</v>
      </c>
      <c r="B20" s="1" t="s">
        <v>38</v>
      </c>
      <c r="C20" s="1" t="s">
        <v>208</v>
      </c>
      <c r="D20" s="1">
        <v>5</v>
      </c>
      <c r="E20" s="5" t="s">
        <v>209</v>
      </c>
      <c r="F20" s="1">
        <v>4750</v>
      </c>
    </row>
    <row r="21" spans="1:6" x14ac:dyDescent="0.3">
      <c r="A21" s="2">
        <v>45117</v>
      </c>
      <c r="B21" s="1" t="s">
        <v>38</v>
      </c>
      <c r="C21" s="1" t="s">
        <v>210</v>
      </c>
      <c r="D21" s="1">
        <v>4</v>
      </c>
      <c r="E21" s="5" t="s">
        <v>182</v>
      </c>
      <c r="F21" s="1">
        <v>4800</v>
      </c>
    </row>
    <row r="22" spans="1:6" x14ac:dyDescent="0.3">
      <c r="A22" s="2">
        <v>44990</v>
      </c>
      <c r="B22" s="1" t="s">
        <v>40</v>
      </c>
      <c r="C22" s="1" t="s">
        <v>211</v>
      </c>
      <c r="D22" s="1">
        <v>1000</v>
      </c>
      <c r="E22" s="5" t="s">
        <v>212</v>
      </c>
      <c r="F22" s="1">
        <v>3000</v>
      </c>
    </row>
    <row r="23" spans="1:6" x14ac:dyDescent="0.3">
      <c r="A23" s="2">
        <v>45028</v>
      </c>
      <c r="B23" s="1" t="s">
        <v>40</v>
      </c>
      <c r="C23" s="1" t="s">
        <v>213</v>
      </c>
      <c r="D23" s="1">
        <v>800</v>
      </c>
      <c r="E23" s="5" t="s">
        <v>214</v>
      </c>
      <c r="F23" s="1">
        <v>3600</v>
      </c>
    </row>
    <row r="24" spans="1:6" ht="28.8" x14ac:dyDescent="0.3">
      <c r="A24" s="2">
        <v>44928</v>
      </c>
      <c r="B24" s="1" t="s">
        <v>62</v>
      </c>
      <c r="C24" s="1" t="s">
        <v>215</v>
      </c>
      <c r="D24" s="1">
        <v>120</v>
      </c>
      <c r="E24" s="5" t="s">
        <v>216</v>
      </c>
      <c r="F24" s="1">
        <v>1440</v>
      </c>
    </row>
    <row r="25" spans="1:6" x14ac:dyDescent="0.3">
      <c r="A25" s="2">
        <v>44986</v>
      </c>
      <c r="B25" s="1" t="s">
        <v>62</v>
      </c>
      <c r="C25" s="1" t="s">
        <v>217</v>
      </c>
      <c r="D25" s="1">
        <v>90</v>
      </c>
      <c r="E25" s="5" t="s">
        <v>218</v>
      </c>
      <c r="F25" s="1">
        <v>720</v>
      </c>
    </row>
    <row r="26" spans="1:6" ht="28.8" x14ac:dyDescent="0.3">
      <c r="A26" s="2">
        <v>45024</v>
      </c>
      <c r="B26" s="1" t="s">
        <v>64</v>
      </c>
      <c r="C26" s="1" t="s">
        <v>219</v>
      </c>
      <c r="D26" s="1">
        <v>3</v>
      </c>
      <c r="E26" s="5" t="s">
        <v>220</v>
      </c>
      <c r="F26" s="1">
        <v>3900</v>
      </c>
    </row>
    <row r="27" spans="1:6" ht="28.8" x14ac:dyDescent="0.3">
      <c r="A27" s="2">
        <v>45086</v>
      </c>
      <c r="B27" s="1" t="s">
        <v>64</v>
      </c>
      <c r="C27" s="1" t="s">
        <v>221</v>
      </c>
      <c r="D27" s="1">
        <v>20</v>
      </c>
      <c r="E27" s="5" t="s">
        <v>222</v>
      </c>
      <c r="F27" s="1">
        <v>1600</v>
      </c>
    </row>
    <row r="28" spans="1:6" ht="28.8" x14ac:dyDescent="0.3">
      <c r="A28" s="2">
        <v>44968</v>
      </c>
      <c r="B28" s="1" t="s">
        <v>67</v>
      </c>
      <c r="C28" s="1" t="s">
        <v>223</v>
      </c>
      <c r="D28" s="1">
        <v>100</v>
      </c>
      <c r="E28" s="5" t="s">
        <v>25</v>
      </c>
      <c r="F28" s="1">
        <v>750</v>
      </c>
    </row>
    <row r="29" spans="1:6" ht="28.8" x14ac:dyDescent="0.3">
      <c r="A29" s="2">
        <v>45029</v>
      </c>
      <c r="B29" s="1" t="s">
        <v>67</v>
      </c>
      <c r="C29" s="1" t="s">
        <v>224</v>
      </c>
      <c r="D29" s="1">
        <v>80</v>
      </c>
      <c r="E29" s="5" t="s">
        <v>218</v>
      </c>
      <c r="F29" s="1">
        <v>640</v>
      </c>
    </row>
    <row r="30" spans="1:6" x14ac:dyDescent="0.3">
      <c r="A30" s="2">
        <v>44991</v>
      </c>
      <c r="B30" s="1" t="s">
        <v>69</v>
      </c>
      <c r="C30" s="1" t="s">
        <v>225</v>
      </c>
      <c r="D30" s="1">
        <v>200</v>
      </c>
      <c r="E30" s="5" t="s">
        <v>23</v>
      </c>
      <c r="F30" s="1">
        <v>700</v>
      </c>
    </row>
    <row r="31" spans="1:6" x14ac:dyDescent="0.3">
      <c r="A31" s="2">
        <v>45026</v>
      </c>
      <c r="B31" s="1" t="s">
        <v>69</v>
      </c>
      <c r="C31" s="1" t="s">
        <v>226</v>
      </c>
      <c r="D31" s="1">
        <v>150</v>
      </c>
      <c r="E31" s="5" t="s">
        <v>13</v>
      </c>
      <c r="F31" s="1">
        <v>750</v>
      </c>
    </row>
    <row r="32" spans="1:6" ht="43.2" x14ac:dyDescent="0.3">
      <c r="A32" s="2">
        <v>44965</v>
      </c>
      <c r="B32" s="1" t="s">
        <v>73</v>
      </c>
      <c r="C32" s="1" t="s">
        <v>227</v>
      </c>
      <c r="D32" s="1">
        <v>2</v>
      </c>
      <c r="E32" s="5" t="s">
        <v>228</v>
      </c>
      <c r="F32" s="1">
        <v>3000</v>
      </c>
    </row>
    <row r="33" spans="1:6" x14ac:dyDescent="0.3">
      <c r="A33" s="2">
        <v>44994</v>
      </c>
      <c r="B33" s="1" t="s">
        <v>73</v>
      </c>
      <c r="C33" s="1" t="s">
        <v>229</v>
      </c>
      <c r="D33" s="1">
        <v>1</v>
      </c>
      <c r="E33" s="5" t="s">
        <v>230</v>
      </c>
      <c r="F33" s="1">
        <v>2500</v>
      </c>
    </row>
    <row r="34" spans="1:6" x14ac:dyDescent="0.3">
      <c r="A34" s="2">
        <v>45018</v>
      </c>
      <c r="B34" s="1" t="s">
        <v>77</v>
      </c>
      <c r="C34" s="1" t="s">
        <v>231</v>
      </c>
      <c r="D34" s="1">
        <v>100</v>
      </c>
      <c r="E34" s="5" t="s">
        <v>14</v>
      </c>
      <c r="F34" s="1">
        <v>900</v>
      </c>
    </row>
    <row r="35" spans="1:6" x14ac:dyDescent="0.3">
      <c r="A35" s="2">
        <v>45087</v>
      </c>
      <c r="B35" s="1" t="s">
        <v>77</v>
      </c>
      <c r="C35" s="1" t="s">
        <v>232</v>
      </c>
      <c r="D35" s="1">
        <v>150</v>
      </c>
      <c r="E35" s="5" t="s">
        <v>233</v>
      </c>
      <c r="F35" s="1">
        <v>600</v>
      </c>
    </row>
    <row r="36" spans="1:6" x14ac:dyDescent="0.3">
      <c r="A36" s="2">
        <v>44990</v>
      </c>
      <c r="B36" s="1" t="s">
        <v>80</v>
      </c>
      <c r="C36" s="1" t="s">
        <v>234</v>
      </c>
      <c r="D36" s="1">
        <v>200</v>
      </c>
      <c r="E36" s="5" t="s">
        <v>194</v>
      </c>
      <c r="F36" s="1">
        <v>1300</v>
      </c>
    </row>
    <row r="37" spans="1:6" x14ac:dyDescent="0.3">
      <c r="A37" s="2">
        <v>45052</v>
      </c>
      <c r="B37" s="1" t="s">
        <v>80</v>
      </c>
      <c r="C37" s="1" t="s">
        <v>235</v>
      </c>
      <c r="D37" s="1">
        <v>150</v>
      </c>
      <c r="E37" s="5" t="s">
        <v>236</v>
      </c>
      <c r="F37" s="1">
        <v>1050</v>
      </c>
    </row>
    <row r="38" spans="1:6" ht="28.8" x14ac:dyDescent="0.3">
      <c r="A38" s="2">
        <v>44964</v>
      </c>
      <c r="B38" s="1" t="s">
        <v>83</v>
      </c>
      <c r="C38" s="1" t="s">
        <v>237</v>
      </c>
      <c r="D38" s="1">
        <v>15</v>
      </c>
      <c r="E38" s="5" t="s">
        <v>238</v>
      </c>
      <c r="F38" s="1">
        <v>9000</v>
      </c>
    </row>
    <row r="39" spans="1:6" x14ac:dyDescent="0.3">
      <c r="A39" s="2">
        <v>45027</v>
      </c>
      <c r="B39" s="1" t="s">
        <v>83</v>
      </c>
      <c r="C39" s="1" t="s">
        <v>239</v>
      </c>
      <c r="D39" s="1">
        <v>10</v>
      </c>
      <c r="E39" s="5" t="s">
        <v>240</v>
      </c>
      <c r="F39" s="1">
        <v>7500</v>
      </c>
    </row>
    <row r="40" spans="1:6" x14ac:dyDescent="0.3">
      <c r="A40" s="2">
        <v>44960</v>
      </c>
      <c r="B40" s="1" t="s">
        <v>86</v>
      </c>
      <c r="C40" s="1" t="s">
        <v>241</v>
      </c>
      <c r="D40" s="1">
        <v>1</v>
      </c>
      <c r="E40" s="5" t="s">
        <v>242</v>
      </c>
      <c r="F40" s="1">
        <v>8500</v>
      </c>
    </row>
    <row r="41" spans="1:6" x14ac:dyDescent="0.3">
      <c r="A41" s="2">
        <v>45050</v>
      </c>
      <c r="B41" s="1" t="s">
        <v>86</v>
      </c>
      <c r="C41" s="1" t="s">
        <v>243</v>
      </c>
      <c r="D41" s="1">
        <v>2</v>
      </c>
      <c r="E41" s="5" t="s">
        <v>244</v>
      </c>
      <c r="F41" s="1">
        <v>6000</v>
      </c>
    </row>
    <row r="42" spans="1:6" x14ac:dyDescent="0.3">
      <c r="A42" s="2">
        <v>44966</v>
      </c>
      <c r="B42" s="1" t="s">
        <v>88</v>
      </c>
      <c r="C42" s="1" t="s">
        <v>245</v>
      </c>
      <c r="D42" s="1">
        <v>1200</v>
      </c>
      <c r="E42" s="5" t="s">
        <v>246</v>
      </c>
      <c r="F42" s="1">
        <v>3360</v>
      </c>
    </row>
    <row r="43" spans="1:6" x14ac:dyDescent="0.3">
      <c r="A43" s="2">
        <v>45028</v>
      </c>
      <c r="B43" s="1" t="s">
        <v>88</v>
      </c>
      <c r="C43" s="1" t="s">
        <v>247</v>
      </c>
      <c r="D43" s="1">
        <v>900</v>
      </c>
      <c r="E43" s="5" t="s">
        <v>248</v>
      </c>
      <c r="F43" s="1">
        <v>2880</v>
      </c>
    </row>
    <row r="44" spans="1:6" x14ac:dyDescent="0.3">
      <c r="A44" s="2">
        <v>44936</v>
      </c>
      <c r="B44" s="1" t="s">
        <v>91</v>
      </c>
      <c r="C44" s="1" t="s">
        <v>249</v>
      </c>
      <c r="D44" s="1">
        <v>150</v>
      </c>
      <c r="E44" s="5" t="s">
        <v>250</v>
      </c>
      <c r="F44" s="1">
        <v>900</v>
      </c>
    </row>
    <row r="45" spans="1:6" x14ac:dyDescent="0.3">
      <c r="A45" s="2">
        <v>44996</v>
      </c>
      <c r="B45" s="1" t="s">
        <v>91</v>
      </c>
      <c r="C45" s="1" t="s">
        <v>251</v>
      </c>
      <c r="D45" s="1">
        <v>250</v>
      </c>
      <c r="E45" s="5" t="s">
        <v>252</v>
      </c>
      <c r="F45" s="1">
        <v>500</v>
      </c>
    </row>
    <row r="46" spans="1:6" x14ac:dyDescent="0.3">
      <c r="A46" s="2">
        <v>44965</v>
      </c>
      <c r="B46" s="1" t="s">
        <v>93</v>
      </c>
      <c r="C46" s="1" t="s">
        <v>253</v>
      </c>
      <c r="D46" s="1">
        <v>100</v>
      </c>
      <c r="E46" s="5" t="s">
        <v>188</v>
      </c>
      <c r="F46" s="1">
        <v>1500</v>
      </c>
    </row>
    <row r="47" spans="1:6" x14ac:dyDescent="0.3">
      <c r="A47" s="2">
        <v>45025</v>
      </c>
      <c r="B47" s="1" t="s">
        <v>93</v>
      </c>
      <c r="C47" s="1" t="s">
        <v>254</v>
      </c>
      <c r="D47" s="1">
        <v>80</v>
      </c>
      <c r="E47" s="5" t="s">
        <v>202</v>
      </c>
      <c r="F47" s="1">
        <v>2000</v>
      </c>
    </row>
    <row r="48" spans="1:6" x14ac:dyDescent="0.3">
      <c r="A48" s="2">
        <v>44987</v>
      </c>
      <c r="B48" s="1" t="s">
        <v>95</v>
      </c>
      <c r="C48" s="1" t="s">
        <v>255</v>
      </c>
      <c r="D48" s="1">
        <v>200</v>
      </c>
      <c r="E48" s="5" t="s">
        <v>256</v>
      </c>
      <c r="F48" s="1">
        <v>2000</v>
      </c>
    </row>
    <row r="49" spans="1:6" x14ac:dyDescent="0.3">
      <c r="A49" s="2">
        <v>45050</v>
      </c>
      <c r="B49" s="1" t="s">
        <v>95</v>
      </c>
      <c r="C49" s="1" t="s">
        <v>257</v>
      </c>
      <c r="D49" s="1">
        <v>150</v>
      </c>
      <c r="E49" s="5" t="s">
        <v>258</v>
      </c>
      <c r="F49" s="1">
        <v>1275</v>
      </c>
    </row>
    <row r="50" spans="1:6" x14ac:dyDescent="0.3">
      <c r="A50" s="2">
        <v>44967</v>
      </c>
      <c r="B50" s="1" t="s">
        <v>98</v>
      </c>
      <c r="C50" s="1" t="s">
        <v>259</v>
      </c>
      <c r="D50" s="1">
        <v>10</v>
      </c>
      <c r="E50" s="5" t="s">
        <v>182</v>
      </c>
      <c r="F50" s="1">
        <v>12000</v>
      </c>
    </row>
    <row r="51" spans="1:6" x14ac:dyDescent="0.3">
      <c r="A51" s="2">
        <v>45028</v>
      </c>
      <c r="B51" s="1" t="s">
        <v>98</v>
      </c>
      <c r="C51" s="1" t="s">
        <v>260</v>
      </c>
      <c r="D51" s="1">
        <v>15</v>
      </c>
      <c r="E51" s="5" t="s">
        <v>238</v>
      </c>
      <c r="F51" s="1">
        <v>9000</v>
      </c>
    </row>
    <row r="52" spans="1:6" x14ac:dyDescent="0.3">
      <c r="A52" s="2">
        <v>44991</v>
      </c>
      <c r="B52" s="1" t="s">
        <v>100</v>
      </c>
      <c r="C52" s="1" t="s">
        <v>261</v>
      </c>
      <c r="D52" s="1">
        <v>6</v>
      </c>
      <c r="E52" s="5" t="s">
        <v>262</v>
      </c>
      <c r="F52" s="1">
        <v>6600</v>
      </c>
    </row>
    <row r="53" spans="1:6" x14ac:dyDescent="0.3">
      <c r="A53" s="2">
        <v>45053</v>
      </c>
      <c r="B53" s="1" t="s">
        <v>100</v>
      </c>
      <c r="C53" s="1" t="s">
        <v>263</v>
      </c>
      <c r="D53" s="1">
        <v>3</v>
      </c>
      <c r="E53" s="5" t="s">
        <v>209</v>
      </c>
      <c r="F53" s="1">
        <v>2850</v>
      </c>
    </row>
    <row r="54" spans="1:6" x14ac:dyDescent="0.3">
      <c r="A54" s="2">
        <v>44936</v>
      </c>
      <c r="B54" s="1" t="s">
        <v>103</v>
      </c>
      <c r="C54" s="1" t="s">
        <v>264</v>
      </c>
      <c r="D54" s="1">
        <v>100</v>
      </c>
      <c r="E54" s="5" t="s">
        <v>265</v>
      </c>
      <c r="F54" s="1">
        <v>420</v>
      </c>
    </row>
    <row r="55" spans="1:6" ht="28.8" x14ac:dyDescent="0.3">
      <c r="A55" s="2">
        <v>44997</v>
      </c>
      <c r="B55" s="1" t="s">
        <v>103</v>
      </c>
      <c r="C55" s="1" t="s">
        <v>266</v>
      </c>
      <c r="D55" s="1">
        <v>80</v>
      </c>
      <c r="E55" s="5" t="s">
        <v>250</v>
      </c>
      <c r="F55" s="1">
        <v>480</v>
      </c>
    </row>
    <row r="56" spans="1:6" x14ac:dyDescent="0.3">
      <c r="A56" s="2">
        <v>44965</v>
      </c>
      <c r="B56" s="1" t="s">
        <v>106</v>
      </c>
      <c r="C56" s="1" t="s">
        <v>28</v>
      </c>
      <c r="D56" s="1">
        <v>120</v>
      </c>
      <c r="E56" s="5" t="s">
        <v>191</v>
      </c>
      <c r="F56" s="1">
        <v>300</v>
      </c>
    </row>
    <row r="57" spans="1:6" x14ac:dyDescent="0.3">
      <c r="A57" s="2">
        <v>45026</v>
      </c>
      <c r="B57" s="1" t="s">
        <v>106</v>
      </c>
      <c r="C57" s="1" t="s">
        <v>29</v>
      </c>
      <c r="D57" s="1">
        <v>150</v>
      </c>
      <c r="E57" s="5" t="s">
        <v>252</v>
      </c>
      <c r="F57" s="1">
        <v>300</v>
      </c>
    </row>
    <row r="58" spans="1:6" x14ac:dyDescent="0.3">
      <c r="A58" s="2">
        <v>44990</v>
      </c>
      <c r="B58" s="1" t="s">
        <v>108</v>
      </c>
      <c r="C58" s="1" t="s">
        <v>267</v>
      </c>
      <c r="D58" s="1">
        <v>60</v>
      </c>
      <c r="E58" s="5" t="s">
        <v>200</v>
      </c>
      <c r="F58" s="1">
        <v>2100</v>
      </c>
    </row>
    <row r="59" spans="1:6" ht="28.8" x14ac:dyDescent="0.3">
      <c r="A59" s="2">
        <v>45054</v>
      </c>
      <c r="B59" s="1" t="s">
        <v>108</v>
      </c>
      <c r="C59" s="1" t="s">
        <v>268</v>
      </c>
      <c r="D59" s="1">
        <v>200</v>
      </c>
      <c r="E59" s="5" t="s">
        <v>233</v>
      </c>
      <c r="F59" s="1">
        <v>800</v>
      </c>
    </row>
    <row r="60" spans="1:6" x14ac:dyDescent="0.3">
      <c r="A60" s="2">
        <v>44963</v>
      </c>
      <c r="B60" s="1" t="s">
        <v>111</v>
      </c>
      <c r="C60" s="1" t="s">
        <v>269</v>
      </c>
      <c r="D60" s="1">
        <v>100</v>
      </c>
      <c r="E60" s="5" t="s">
        <v>206</v>
      </c>
      <c r="F60" s="1">
        <v>1800</v>
      </c>
    </row>
    <row r="61" spans="1:6" x14ac:dyDescent="0.3">
      <c r="A61" s="2">
        <v>45023</v>
      </c>
      <c r="B61" s="1" t="s">
        <v>111</v>
      </c>
      <c r="C61" s="1" t="s">
        <v>270</v>
      </c>
      <c r="D61" s="1">
        <v>70</v>
      </c>
      <c r="E61" s="5" t="s">
        <v>202</v>
      </c>
      <c r="F61" s="1">
        <v>1750</v>
      </c>
    </row>
    <row r="62" spans="1:6" x14ac:dyDescent="0.3">
      <c r="A62" s="2">
        <v>44995</v>
      </c>
      <c r="B62" s="1" t="s">
        <v>113</v>
      </c>
      <c r="C62" s="1" t="s">
        <v>271</v>
      </c>
      <c r="D62" s="1">
        <v>200</v>
      </c>
      <c r="E62" s="5" t="s">
        <v>23</v>
      </c>
      <c r="F62" s="1">
        <v>700</v>
      </c>
    </row>
    <row r="63" spans="1:6" x14ac:dyDescent="0.3">
      <c r="A63" s="2">
        <v>45058</v>
      </c>
      <c r="B63" s="1" t="s">
        <v>113</v>
      </c>
      <c r="C63" s="1" t="s">
        <v>272</v>
      </c>
      <c r="D63" s="1">
        <v>150</v>
      </c>
      <c r="E63" s="5" t="s">
        <v>250</v>
      </c>
      <c r="F63" s="1">
        <v>900</v>
      </c>
    </row>
    <row r="64" spans="1:6" x14ac:dyDescent="0.3">
      <c r="A64" s="2">
        <v>44965</v>
      </c>
      <c r="B64" s="1" t="s">
        <v>116</v>
      </c>
      <c r="C64" s="1" t="s">
        <v>273</v>
      </c>
      <c r="D64" s="1">
        <v>200</v>
      </c>
      <c r="E64" s="5" t="s">
        <v>233</v>
      </c>
      <c r="F64" s="1">
        <v>800</v>
      </c>
    </row>
    <row r="65" spans="1:6" x14ac:dyDescent="0.3">
      <c r="A65" s="2">
        <v>45025</v>
      </c>
      <c r="B65" s="1" t="s">
        <v>116</v>
      </c>
      <c r="C65" s="1" t="s">
        <v>274</v>
      </c>
      <c r="D65" s="1">
        <v>150</v>
      </c>
      <c r="E65" s="5" t="s">
        <v>275</v>
      </c>
      <c r="F65" s="1">
        <v>825</v>
      </c>
    </row>
    <row r="66" spans="1:6" x14ac:dyDescent="0.3">
      <c r="A66" s="2">
        <v>44961</v>
      </c>
      <c r="B66" s="1" t="s">
        <v>118</v>
      </c>
      <c r="C66" s="1" t="s">
        <v>276</v>
      </c>
      <c r="D66" s="1">
        <v>150</v>
      </c>
      <c r="E66" s="5" t="s">
        <v>233</v>
      </c>
      <c r="F66" s="1">
        <v>600</v>
      </c>
    </row>
    <row r="67" spans="1:6" x14ac:dyDescent="0.3">
      <c r="A67" s="2">
        <v>45052</v>
      </c>
      <c r="B67" s="1" t="s">
        <v>118</v>
      </c>
      <c r="C67" s="1" t="s">
        <v>249</v>
      </c>
      <c r="D67" s="1">
        <v>120</v>
      </c>
      <c r="E67" s="5" t="s">
        <v>250</v>
      </c>
      <c r="F67" s="1">
        <v>720</v>
      </c>
    </row>
    <row r="68" spans="1:6" x14ac:dyDescent="0.3">
      <c r="A68" s="2">
        <v>44967</v>
      </c>
      <c r="B68" s="1" t="s">
        <v>120</v>
      </c>
      <c r="C68" s="1" t="s">
        <v>277</v>
      </c>
      <c r="D68" s="1">
        <v>2</v>
      </c>
      <c r="E68" s="5" t="s">
        <v>278</v>
      </c>
      <c r="F68" s="1">
        <v>5600</v>
      </c>
    </row>
    <row r="69" spans="1:6" x14ac:dyDescent="0.3">
      <c r="A69" s="2">
        <v>45057</v>
      </c>
      <c r="B69" s="1" t="s">
        <v>120</v>
      </c>
      <c r="C69" s="1" t="s">
        <v>259</v>
      </c>
      <c r="D69" s="1">
        <v>5</v>
      </c>
      <c r="E69" s="5" t="s">
        <v>182</v>
      </c>
      <c r="F69" s="1">
        <v>6000</v>
      </c>
    </row>
    <row r="70" spans="1:6" ht="28.8" x14ac:dyDescent="0.3">
      <c r="A70" s="2">
        <v>44992</v>
      </c>
      <c r="B70" s="1" t="s">
        <v>122</v>
      </c>
      <c r="C70" s="1" t="s">
        <v>279</v>
      </c>
      <c r="D70" s="1">
        <v>50</v>
      </c>
      <c r="E70" s="5" t="s">
        <v>202</v>
      </c>
      <c r="F70" s="1">
        <v>1250</v>
      </c>
    </row>
    <row r="71" spans="1:6" ht="28.8" x14ac:dyDescent="0.3">
      <c r="A71" s="2">
        <v>45054</v>
      </c>
      <c r="B71" s="1" t="s">
        <v>122</v>
      </c>
      <c r="C71" s="1" t="s">
        <v>280</v>
      </c>
      <c r="D71" s="1">
        <v>30</v>
      </c>
      <c r="E71" s="5" t="s">
        <v>200</v>
      </c>
      <c r="F71" s="1">
        <v>1050</v>
      </c>
    </row>
    <row r="72" spans="1:6" x14ac:dyDescent="0.3">
      <c r="A72" s="2">
        <v>44962</v>
      </c>
      <c r="B72" s="1" t="s">
        <v>124</v>
      </c>
      <c r="C72" s="1" t="s">
        <v>181</v>
      </c>
      <c r="D72" s="1">
        <v>4</v>
      </c>
      <c r="E72" s="5" t="s">
        <v>182</v>
      </c>
      <c r="F72" s="1">
        <v>4800</v>
      </c>
    </row>
    <row r="73" spans="1:6" x14ac:dyDescent="0.3">
      <c r="A73" s="2">
        <v>45023</v>
      </c>
      <c r="B73" s="1" t="s">
        <v>124</v>
      </c>
      <c r="C73" s="1" t="s">
        <v>183</v>
      </c>
      <c r="D73" s="1">
        <v>3</v>
      </c>
      <c r="E73" s="5" t="s">
        <v>209</v>
      </c>
      <c r="F73" s="1">
        <v>2850</v>
      </c>
    </row>
    <row r="74" spans="1:6" ht="28.8" x14ac:dyDescent="0.3">
      <c r="A74" s="2">
        <v>44929</v>
      </c>
      <c r="B74" s="1" t="s">
        <v>126</v>
      </c>
      <c r="C74" s="1" t="s">
        <v>281</v>
      </c>
      <c r="D74" s="1">
        <v>2</v>
      </c>
      <c r="E74" s="5" t="s">
        <v>228</v>
      </c>
      <c r="F74" s="1">
        <v>3000</v>
      </c>
    </row>
    <row r="75" spans="1:6" ht="28.8" x14ac:dyDescent="0.3">
      <c r="A75" s="2">
        <v>44990</v>
      </c>
      <c r="B75" s="1" t="s">
        <v>126</v>
      </c>
      <c r="C75" s="1" t="s">
        <v>221</v>
      </c>
      <c r="D75" s="1">
        <v>25</v>
      </c>
      <c r="E75" s="5" t="s">
        <v>282</v>
      </c>
      <c r="F75" s="1">
        <v>1750</v>
      </c>
    </row>
    <row r="76" spans="1:6" x14ac:dyDescent="0.3">
      <c r="A76" s="2">
        <v>44967</v>
      </c>
      <c r="B76" s="1" t="s">
        <v>128</v>
      </c>
      <c r="C76" s="1" t="s">
        <v>283</v>
      </c>
      <c r="D76" s="1">
        <v>300</v>
      </c>
      <c r="E76" s="5" t="s">
        <v>284</v>
      </c>
      <c r="F76" s="1">
        <v>450</v>
      </c>
    </row>
    <row r="77" spans="1:6" x14ac:dyDescent="0.3">
      <c r="A77" s="2">
        <v>45028</v>
      </c>
      <c r="B77" s="1" t="s">
        <v>128</v>
      </c>
      <c r="C77" s="1" t="s">
        <v>285</v>
      </c>
      <c r="D77" s="1">
        <v>250</v>
      </c>
      <c r="E77" s="5" t="s">
        <v>286</v>
      </c>
      <c r="F77" s="1">
        <v>300</v>
      </c>
    </row>
    <row r="78" spans="1:6" x14ac:dyDescent="0.3">
      <c r="A78" s="2">
        <v>44987</v>
      </c>
      <c r="B78" s="1" t="s">
        <v>131</v>
      </c>
      <c r="C78" s="1" t="s">
        <v>287</v>
      </c>
      <c r="D78" s="1">
        <v>3</v>
      </c>
      <c r="E78" s="5" t="s">
        <v>288</v>
      </c>
      <c r="F78" s="1">
        <v>4800</v>
      </c>
    </row>
    <row r="79" spans="1:6" x14ac:dyDescent="0.3">
      <c r="A79" s="2">
        <v>45050</v>
      </c>
      <c r="B79" s="1" t="s">
        <v>131</v>
      </c>
      <c r="C79" s="1" t="s">
        <v>289</v>
      </c>
      <c r="D79" s="1">
        <v>2</v>
      </c>
      <c r="E79" s="5" t="s">
        <v>230</v>
      </c>
      <c r="F79" s="1">
        <v>5000</v>
      </c>
    </row>
    <row r="80" spans="1:6" x14ac:dyDescent="0.3">
      <c r="A80" s="2">
        <v>44934</v>
      </c>
      <c r="B80" s="1" t="s">
        <v>133</v>
      </c>
      <c r="C80" s="1" t="s">
        <v>290</v>
      </c>
      <c r="D80" s="1">
        <v>120</v>
      </c>
      <c r="E80" s="5" t="s">
        <v>13</v>
      </c>
      <c r="F80" s="1">
        <v>600</v>
      </c>
    </row>
    <row r="81" spans="1:6" x14ac:dyDescent="0.3">
      <c r="A81" s="2">
        <v>44994</v>
      </c>
      <c r="B81" s="1" t="s">
        <v>133</v>
      </c>
      <c r="C81" s="1" t="s">
        <v>291</v>
      </c>
      <c r="D81" s="1">
        <v>80</v>
      </c>
      <c r="E81" s="5" t="s">
        <v>14</v>
      </c>
      <c r="F81" s="1">
        <v>720</v>
      </c>
    </row>
    <row r="82" spans="1:6" x14ac:dyDescent="0.3">
      <c r="A82" s="2">
        <v>44963</v>
      </c>
      <c r="B82" s="1" t="s">
        <v>135</v>
      </c>
      <c r="C82" s="1" t="s">
        <v>259</v>
      </c>
      <c r="D82" s="1">
        <v>6</v>
      </c>
      <c r="E82" s="5" t="s">
        <v>292</v>
      </c>
      <c r="F82" s="1">
        <v>6900</v>
      </c>
    </row>
    <row r="83" spans="1:6" x14ac:dyDescent="0.3">
      <c r="A83" s="2">
        <v>45026</v>
      </c>
      <c r="B83" s="1" t="s">
        <v>135</v>
      </c>
      <c r="C83" s="1" t="s">
        <v>293</v>
      </c>
      <c r="D83" s="1">
        <v>8</v>
      </c>
      <c r="E83" s="5" t="s">
        <v>294</v>
      </c>
      <c r="F83" s="1">
        <v>2800</v>
      </c>
    </row>
    <row r="84" spans="1:6" x14ac:dyDescent="0.3">
      <c r="A84" s="2">
        <v>44967</v>
      </c>
      <c r="B84" s="1" t="s">
        <v>137</v>
      </c>
      <c r="C84" s="1" t="s">
        <v>295</v>
      </c>
      <c r="D84" s="1">
        <v>100</v>
      </c>
      <c r="E84" s="5" t="s">
        <v>218</v>
      </c>
      <c r="F84" s="1">
        <v>800</v>
      </c>
    </row>
    <row r="85" spans="1:6" x14ac:dyDescent="0.3">
      <c r="A85" s="2">
        <v>45058</v>
      </c>
      <c r="B85" s="1" t="s">
        <v>137</v>
      </c>
      <c r="C85" s="1" t="s">
        <v>296</v>
      </c>
      <c r="D85" s="1">
        <v>50</v>
      </c>
      <c r="E85" s="5" t="s">
        <v>188</v>
      </c>
      <c r="F85" s="1">
        <v>750</v>
      </c>
    </row>
    <row r="86" spans="1:6" x14ac:dyDescent="0.3">
      <c r="A86" s="2">
        <v>44993</v>
      </c>
      <c r="B86" s="1" t="s">
        <v>140</v>
      </c>
      <c r="C86" s="1" t="s">
        <v>241</v>
      </c>
      <c r="D86" s="1">
        <v>1</v>
      </c>
      <c r="E86" s="5" t="s">
        <v>297</v>
      </c>
      <c r="F86" s="1">
        <v>9000</v>
      </c>
    </row>
    <row r="87" spans="1:6" x14ac:dyDescent="0.3">
      <c r="A87" s="2">
        <v>45026</v>
      </c>
      <c r="B87" s="1" t="s">
        <v>140</v>
      </c>
      <c r="C87" s="1" t="s">
        <v>243</v>
      </c>
      <c r="D87" s="1">
        <v>2</v>
      </c>
      <c r="E87" s="5" t="s">
        <v>244</v>
      </c>
      <c r="F87" s="1">
        <v>6000</v>
      </c>
    </row>
    <row r="88" spans="1:6" x14ac:dyDescent="0.3">
      <c r="A88" s="2">
        <v>44931</v>
      </c>
      <c r="B88" s="1" t="s">
        <v>142</v>
      </c>
      <c r="C88" s="1" t="s">
        <v>298</v>
      </c>
      <c r="D88" s="1">
        <v>90</v>
      </c>
      <c r="E88" s="5" t="s">
        <v>198</v>
      </c>
      <c r="F88" s="1">
        <v>1800</v>
      </c>
    </row>
    <row r="89" spans="1:6" x14ac:dyDescent="0.3">
      <c r="A89" s="2">
        <v>44995</v>
      </c>
      <c r="B89" s="1" t="s">
        <v>142</v>
      </c>
      <c r="C89" s="1" t="s">
        <v>299</v>
      </c>
      <c r="D89" s="1">
        <v>70</v>
      </c>
      <c r="E89" s="5" t="s">
        <v>204</v>
      </c>
      <c r="F89" s="1">
        <v>2100</v>
      </c>
    </row>
    <row r="90" spans="1:6" x14ac:dyDescent="0.3">
      <c r="A90" s="2">
        <v>44965</v>
      </c>
      <c r="B90" s="1" t="s">
        <v>145</v>
      </c>
      <c r="C90" s="1" t="s">
        <v>300</v>
      </c>
      <c r="D90" s="1">
        <v>10</v>
      </c>
      <c r="E90" s="5" t="s">
        <v>301</v>
      </c>
      <c r="F90" s="1">
        <v>7000</v>
      </c>
    </row>
    <row r="91" spans="1:6" x14ac:dyDescent="0.3">
      <c r="A91" s="2">
        <v>45055</v>
      </c>
      <c r="B91" s="1" t="s">
        <v>145</v>
      </c>
      <c r="C91" s="1" t="s">
        <v>302</v>
      </c>
      <c r="D91" s="1">
        <v>8</v>
      </c>
      <c r="E91" s="5" t="s">
        <v>184</v>
      </c>
      <c r="F91" s="1">
        <v>6400</v>
      </c>
    </row>
    <row r="92" spans="1:6" x14ac:dyDescent="0.3">
      <c r="A92" s="2">
        <v>44990</v>
      </c>
      <c r="B92" s="1" t="s">
        <v>147</v>
      </c>
      <c r="C92" s="1" t="s">
        <v>276</v>
      </c>
      <c r="D92" s="1">
        <v>100</v>
      </c>
      <c r="E92" s="5" t="s">
        <v>13</v>
      </c>
      <c r="F92" s="1">
        <v>500</v>
      </c>
    </row>
    <row r="93" spans="1:6" x14ac:dyDescent="0.3">
      <c r="A93" s="2">
        <v>45052</v>
      </c>
      <c r="B93" s="1" t="s">
        <v>147</v>
      </c>
      <c r="C93" s="1" t="s">
        <v>251</v>
      </c>
      <c r="D93" s="1">
        <v>200</v>
      </c>
      <c r="E93" s="5" t="s">
        <v>252</v>
      </c>
      <c r="F93" s="1">
        <v>400</v>
      </c>
    </row>
    <row r="94" spans="1:6" x14ac:dyDescent="0.3">
      <c r="A94" s="2">
        <v>44967</v>
      </c>
      <c r="B94" s="1" t="s">
        <v>149</v>
      </c>
      <c r="C94" s="1" t="s">
        <v>303</v>
      </c>
      <c r="D94" s="1">
        <v>50</v>
      </c>
      <c r="E94" s="5" t="s">
        <v>304</v>
      </c>
      <c r="F94" s="1">
        <v>2000</v>
      </c>
    </row>
    <row r="95" spans="1:6" x14ac:dyDescent="0.3">
      <c r="A95" s="2">
        <v>45058</v>
      </c>
      <c r="B95" s="1" t="s">
        <v>149</v>
      </c>
      <c r="C95" s="1" t="s">
        <v>305</v>
      </c>
      <c r="D95" s="1">
        <v>20</v>
      </c>
      <c r="E95" s="5" t="s">
        <v>306</v>
      </c>
      <c r="F95" s="1">
        <v>2400</v>
      </c>
    </row>
    <row r="96" spans="1:6" x14ac:dyDescent="0.3">
      <c r="A96" s="2">
        <v>44990</v>
      </c>
      <c r="B96" s="1" t="s">
        <v>152</v>
      </c>
      <c r="C96" s="1" t="s">
        <v>207</v>
      </c>
      <c r="D96" s="1">
        <v>80</v>
      </c>
      <c r="E96" s="5" t="s">
        <v>188</v>
      </c>
      <c r="F96" s="1">
        <v>1200</v>
      </c>
    </row>
    <row r="97" spans="1:6" x14ac:dyDescent="0.3">
      <c r="A97" s="2">
        <v>45022</v>
      </c>
      <c r="B97" s="1" t="s">
        <v>152</v>
      </c>
      <c r="C97" s="1" t="s">
        <v>269</v>
      </c>
      <c r="D97" s="1">
        <v>60</v>
      </c>
      <c r="E97" s="5" t="s">
        <v>206</v>
      </c>
      <c r="F97" s="1">
        <v>1080</v>
      </c>
    </row>
    <row r="98" spans="1:6" ht="28.8" x14ac:dyDescent="0.3">
      <c r="A98" s="2">
        <v>44965</v>
      </c>
      <c r="B98" s="1" t="s">
        <v>154</v>
      </c>
      <c r="C98" s="1" t="s">
        <v>307</v>
      </c>
      <c r="D98" s="1">
        <v>4</v>
      </c>
      <c r="E98" s="5" t="s">
        <v>182</v>
      </c>
      <c r="F98" s="1">
        <v>4800</v>
      </c>
    </row>
    <row r="99" spans="1:6" x14ac:dyDescent="0.3">
      <c r="A99" s="2">
        <v>45056</v>
      </c>
      <c r="B99" s="1" t="s">
        <v>154</v>
      </c>
      <c r="C99" s="1" t="s">
        <v>287</v>
      </c>
      <c r="D99" s="1">
        <v>3</v>
      </c>
      <c r="E99" s="5" t="s">
        <v>228</v>
      </c>
      <c r="F99" s="1">
        <v>4500</v>
      </c>
    </row>
    <row r="100" spans="1:6" x14ac:dyDescent="0.3">
      <c r="A100" s="2">
        <v>44992</v>
      </c>
      <c r="B100" s="1" t="s">
        <v>156</v>
      </c>
      <c r="C100" s="1" t="s">
        <v>193</v>
      </c>
      <c r="D100" s="1">
        <v>150</v>
      </c>
      <c r="E100" s="5" t="s">
        <v>250</v>
      </c>
      <c r="F100" s="1">
        <v>900</v>
      </c>
    </row>
    <row r="101" spans="1:6" x14ac:dyDescent="0.3">
      <c r="A101" s="2">
        <v>45024</v>
      </c>
      <c r="B101" s="1" t="s">
        <v>156</v>
      </c>
      <c r="C101" s="1" t="s">
        <v>249</v>
      </c>
      <c r="D101" s="1">
        <v>120</v>
      </c>
      <c r="E101" s="5" t="s">
        <v>13</v>
      </c>
      <c r="F101" s="1">
        <v>600</v>
      </c>
    </row>
    <row r="102" spans="1:6" x14ac:dyDescent="0.3">
      <c r="A102" s="2">
        <v>44967</v>
      </c>
      <c r="B102" s="1" t="s">
        <v>158</v>
      </c>
      <c r="C102" s="1" t="s">
        <v>181</v>
      </c>
      <c r="D102" s="1">
        <v>5</v>
      </c>
      <c r="E102" s="5" t="s">
        <v>182</v>
      </c>
      <c r="F102" s="1">
        <v>6000</v>
      </c>
    </row>
    <row r="103" spans="1:6" x14ac:dyDescent="0.3">
      <c r="A103" s="2">
        <v>45058</v>
      </c>
      <c r="B103" s="1" t="s">
        <v>158</v>
      </c>
      <c r="C103" s="1" t="s">
        <v>185</v>
      </c>
      <c r="D103" s="1">
        <v>2</v>
      </c>
      <c r="E103" s="5" t="s">
        <v>209</v>
      </c>
      <c r="F103" s="1">
        <v>1900</v>
      </c>
    </row>
    <row r="104" spans="1:6" x14ac:dyDescent="0.3">
      <c r="A104" s="2">
        <v>44990</v>
      </c>
      <c r="B104" s="1" t="s">
        <v>160</v>
      </c>
      <c r="C104" s="1" t="s">
        <v>308</v>
      </c>
      <c r="D104" s="1">
        <v>100</v>
      </c>
      <c r="E104" s="5" t="s">
        <v>214</v>
      </c>
      <c r="F104" s="1">
        <v>450</v>
      </c>
    </row>
    <row r="105" spans="1:6" x14ac:dyDescent="0.3">
      <c r="A105" s="2">
        <v>45053</v>
      </c>
      <c r="B105" s="1" t="s">
        <v>160</v>
      </c>
      <c r="C105" s="1" t="s">
        <v>309</v>
      </c>
      <c r="D105" s="1">
        <v>80</v>
      </c>
      <c r="E105" s="5" t="s">
        <v>13</v>
      </c>
      <c r="F105" s="1">
        <v>400</v>
      </c>
    </row>
    <row r="106" spans="1:6" x14ac:dyDescent="0.3">
      <c r="A106" s="2">
        <v>44936</v>
      </c>
      <c r="B106" s="1" t="s">
        <v>162</v>
      </c>
      <c r="C106" s="1" t="s">
        <v>310</v>
      </c>
      <c r="D106" s="1">
        <v>5</v>
      </c>
      <c r="E106" s="5" t="s">
        <v>186</v>
      </c>
      <c r="F106" s="1">
        <v>4500</v>
      </c>
    </row>
    <row r="107" spans="1:6" ht="28.8" x14ac:dyDescent="0.3">
      <c r="A107" s="2">
        <v>45027</v>
      </c>
      <c r="B107" s="1" t="s">
        <v>162</v>
      </c>
      <c r="C107" s="1" t="s">
        <v>221</v>
      </c>
      <c r="D107" s="1">
        <v>20</v>
      </c>
      <c r="E107" s="5" t="s">
        <v>222</v>
      </c>
      <c r="F107" s="1">
        <v>1600</v>
      </c>
    </row>
    <row r="108" spans="1:6" x14ac:dyDescent="0.3">
      <c r="A108" s="2">
        <v>44962</v>
      </c>
      <c r="B108" s="1" t="s">
        <v>164</v>
      </c>
      <c r="C108" s="1" t="s">
        <v>181</v>
      </c>
      <c r="D108" s="1">
        <v>3</v>
      </c>
      <c r="E108" s="5" t="s">
        <v>182</v>
      </c>
      <c r="F108" s="1">
        <v>3600</v>
      </c>
    </row>
    <row r="109" spans="1:6" x14ac:dyDescent="0.3">
      <c r="A109" s="2">
        <v>45052</v>
      </c>
      <c r="B109" s="1" t="s">
        <v>164</v>
      </c>
      <c r="C109" s="1" t="s">
        <v>263</v>
      </c>
      <c r="D109" s="1">
        <v>2</v>
      </c>
      <c r="E109" s="5" t="s">
        <v>209</v>
      </c>
      <c r="F109" s="1">
        <v>1900</v>
      </c>
    </row>
    <row r="110" spans="1:6" x14ac:dyDescent="0.3">
      <c r="A110" s="2">
        <v>44993</v>
      </c>
      <c r="B110" s="1" t="s">
        <v>166</v>
      </c>
      <c r="C110" s="1" t="s">
        <v>311</v>
      </c>
      <c r="D110" s="1">
        <v>200</v>
      </c>
      <c r="E110" s="5" t="s">
        <v>218</v>
      </c>
      <c r="F110" s="1">
        <v>1600</v>
      </c>
    </row>
    <row r="111" spans="1:6" x14ac:dyDescent="0.3">
      <c r="A111" s="2">
        <v>45056</v>
      </c>
      <c r="B111" s="1" t="s">
        <v>166</v>
      </c>
      <c r="C111" s="1" t="s">
        <v>312</v>
      </c>
      <c r="D111" s="1">
        <v>150</v>
      </c>
      <c r="E111" s="5" t="s">
        <v>236</v>
      </c>
      <c r="F111" s="1">
        <v>1050</v>
      </c>
    </row>
    <row r="112" spans="1:6" x14ac:dyDescent="0.3">
      <c r="A112" s="2">
        <v>44967</v>
      </c>
      <c r="B112" s="1" t="s">
        <v>168</v>
      </c>
      <c r="C112" s="1" t="s">
        <v>211</v>
      </c>
      <c r="D112" s="1">
        <v>1500</v>
      </c>
      <c r="E112" s="5" t="s">
        <v>246</v>
      </c>
      <c r="F112" s="1">
        <v>4200</v>
      </c>
    </row>
    <row r="113" spans="1:6" x14ac:dyDescent="0.3">
      <c r="A113" s="2">
        <v>45028</v>
      </c>
      <c r="B113" s="1" t="s">
        <v>168</v>
      </c>
      <c r="C113" s="1" t="s">
        <v>213</v>
      </c>
      <c r="D113" s="1">
        <v>900</v>
      </c>
      <c r="E113" s="5" t="s">
        <v>214</v>
      </c>
      <c r="F113" s="1">
        <v>4050</v>
      </c>
    </row>
    <row r="114" spans="1:6" ht="28.8" x14ac:dyDescent="0.3">
      <c r="A114" s="2">
        <v>44990</v>
      </c>
      <c r="B114" s="1" t="s">
        <v>170</v>
      </c>
      <c r="C114" s="1" t="s">
        <v>313</v>
      </c>
      <c r="D114" s="1">
        <v>3</v>
      </c>
      <c r="E114" s="5" t="s">
        <v>228</v>
      </c>
      <c r="F114" s="1">
        <v>4500</v>
      </c>
    </row>
    <row r="115" spans="1:6" x14ac:dyDescent="0.3">
      <c r="A115" s="2">
        <v>45053</v>
      </c>
      <c r="B115" s="1" t="s">
        <v>170</v>
      </c>
      <c r="C115" s="1" t="s">
        <v>314</v>
      </c>
      <c r="D115" s="1">
        <v>2</v>
      </c>
      <c r="E115" s="5" t="s">
        <v>230</v>
      </c>
      <c r="F115" s="1">
        <v>5000</v>
      </c>
    </row>
    <row r="116" spans="1:6" x14ac:dyDescent="0.3">
      <c r="A116" s="2">
        <v>44966</v>
      </c>
      <c r="B116" s="1" t="s">
        <v>172</v>
      </c>
      <c r="C116" s="1" t="s">
        <v>271</v>
      </c>
      <c r="D116" s="1">
        <v>150</v>
      </c>
      <c r="E116" s="5" t="s">
        <v>23</v>
      </c>
      <c r="F116" s="1">
        <v>525</v>
      </c>
    </row>
    <row r="117" spans="1:6" x14ac:dyDescent="0.3">
      <c r="A117" s="2">
        <v>45028</v>
      </c>
      <c r="B117" s="1" t="s">
        <v>172</v>
      </c>
      <c r="C117" s="1" t="s">
        <v>315</v>
      </c>
      <c r="D117" s="1">
        <v>100</v>
      </c>
      <c r="E117" s="5" t="s">
        <v>218</v>
      </c>
      <c r="F117" s="1">
        <v>800</v>
      </c>
    </row>
    <row r="118" spans="1:6" ht="28.8" x14ac:dyDescent="0.3">
      <c r="A118" s="2">
        <v>44936</v>
      </c>
      <c r="B118" s="1" t="s">
        <v>174</v>
      </c>
      <c r="C118" s="1" t="s">
        <v>279</v>
      </c>
      <c r="D118" s="1">
        <v>60</v>
      </c>
      <c r="E118" s="5" t="s">
        <v>202</v>
      </c>
      <c r="F118" s="1">
        <v>1500</v>
      </c>
    </row>
    <row r="119" spans="1:6" ht="28.8" x14ac:dyDescent="0.3">
      <c r="A119" s="2">
        <v>45058</v>
      </c>
      <c r="B119" s="1" t="s">
        <v>174</v>
      </c>
      <c r="C119" s="1" t="s">
        <v>316</v>
      </c>
      <c r="D119" s="1">
        <v>50</v>
      </c>
      <c r="E119" s="5" t="s">
        <v>204</v>
      </c>
      <c r="F119" s="1">
        <v>1500</v>
      </c>
    </row>
    <row r="120" spans="1:6" x14ac:dyDescent="0.3">
      <c r="A120" s="2">
        <v>44965</v>
      </c>
      <c r="B120" s="1" t="s">
        <v>176</v>
      </c>
      <c r="C120" s="1" t="s">
        <v>226</v>
      </c>
      <c r="D120" s="1">
        <v>120</v>
      </c>
      <c r="E120" s="5" t="s">
        <v>250</v>
      </c>
      <c r="F120" s="1">
        <v>720</v>
      </c>
    </row>
    <row r="121" spans="1:6" x14ac:dyDescent="0.3">
      <c r="A121" s="2">
        <v>45025</v>
      </c>
      <c r="B121" s="1" t="s">
        <v>176</v>
      </c>
      <c r="C121" s="1" t="s">
        <v>274</v>
      </c>
      <c r="D121" s="1">
        <v>90</v>
      </c>
      <c r="E121" s="5" t="s">
        <v>13</v>
      </c>
      <c r="F121" s="1">
        <v>450</v>
      </c>
    </row>
    <row r="122" spans="1:6" x14ac:dyDescent="0.3">
      <c r="A122" s="2">
        <v>44990</v>
      </c>
      <c r="B122" s="1" t="s">
        <v>178</v>
      </c>
      <c r="C122" s="1" t="s">
        <v>317</v>
      </c>
      <c r="D122" s="1">
        <v>2</v>
      </c>
      <c r="E122" s="5" t="s">
        <v>242</v>
      </c>
      <c r="F122" s="1">
        <v>17000</v>
      </c>
    </row>
    <row r="123" spans="1:6" x14ac:dyDescent="0.3">
      <c r="A123" s="2">
        <v>45052</v>
      </c>
      <c r="B123" s="1" t="s">
        <v>178</v>
      </c>
      <c r="C123" s="1" t="s">
        <v>318</v>
      </c>
      <c r="D123" s="1">
        <v>4</v>
      </c>
      <c r="E123" s="5" t="s">
        <v>244</v>
      </c>
      <c r="F123" s="1">
        <v>12000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627DC-AB37-42AC-AD0E-DA4378111E8E}">
  <dimension ref="A1:K28"/>
  <sheetViews>
    <sheetView topLeftCell="D1" zoomScale="111" zoomScaleNormal="70" workbookViewId="0">
      <selection activeCell="M15" sqref="M15"/>
    </sheetView>
  </sheetViews>
  <sheetFormatPr baseColWidth="10" defaultRowHeight="14.4" x14ac:dyDescent="0.3"/>
  <cols>
    <col min="1" max="1" width="19.109375" bestFit="1" customWidth="1"/>
    <col min="2" max="2" width="19.33203125" bestFit="1" customWidth="1"/>
    <col min="4" max="4" width="16.5546875" bestFit="1" customWidth="1"/>
    <col min="5" max="5" width="19.33203125" bestFit="1" customWidth="1"/>
    <col min="7" max="7" width="18.5546875" bestFit="1" customWidth="1"/>
    <col min="8" max="8" width="19.33203125" bestFit="1" customWidth="1"/>
    <col min="10" max="10" width="16.5546875" bestFit="1" customWidth="1"/>
    <col min="11" max="11" width="19.33203125" bestFit="1" customWidth="1"/>
  </cols>
  <sheetData>
    <row r="1" spans="1:11" x14ac:dyDescent="0.3">
      <c r="A1" s="11" t="s">
        <v>333</v>
      </c>
      <c r="B1" s="12"/>
      <c r="D1" s="11" t="s">
        <v>332</v>
      </c>
      <c r="E1" s="12"/>
      <c r="G1" s="11" t="s">
        <v>330</v>
      </c>
      <c r="H1" s="12"/>
      <c r="J1" s="11" t="s">
        <v>336</v>
      </c>
      <c r="K1" s="12"/>
    </row>
    <row r="2" spans="1:11" x14ac:dyDescent="0.3">
      <c r="A2" s="12"/>
      <c r="B2" s="12"/>
      <c r="D2" s="12"/>
      <c r="E2" s="12"/>
      <c r="G2" s="12"/>
      <c r="H2" s="12"/>
      <c r="J2" s="12"/>
      <c r="K2" s="12"/>
    </row>
    <row r="3" spans="1:11" x14ac:dyDescent="0.3">
      <c r="A3" s="7" t="s">
        <v>329</v>
      </c>
      <c r="B3" t="s">
        <v>327</v>
      </c>
      <c r="D3" s="7" t="s">
        <v>331</v>
      </c>
      <c r="E3" t="s">
        <v>327</v>
      </c>
      <c r="G3" s="7" t="s">
        <v>330</v>
      </c>
      <c r="H3" t="s">
        <v>327</v>
      </c>
      <c r="J3" s="7" t="s">
        <v>319</v>
      </c>
      <c r="K3" t="s">
        <v>327</v>
      </c>
    </row>
    <row r="4" spans="1:11" x14ac:dyDescent="0.3">
      <c r="A4" s="8" t="s">
        <v>35</v>
      </c>
      <c r="B4">
        <v>15175</v>
      </c>
      <c r="D4" s="8" t="s">
        <v>50</v>
      </c>
      <c r="E4">
        <v>9670</v>
      </c>
      <c r="G4" s="8" t="s">
        <v>328</v>
      </c>
      <c r="H4">
        <v>141090</v>
      </c>
      <c r="J4" s="8" t="s">
        <v>328</v>
      </c>
      <c r="K4">
        <v>141090</v>
      </c>
    </row>
    <row r="5" spans="1:11" x14ac:dyDescent="0.3">
      <c r="A5" s="8" t="s">
        <v>144</v>
      </c>
      <c r="B5">
        <v>3900</v>
      </c>
      <c r="D5" s="8" t="s">
        <v>12</v>
      </c>
      <c r="E5">
        <v>14100</v>
      </c>
      <c r="G5" s="9" t="s">
        <v>321</v>
      </c>
      <c r="H5">
        <v>58955</v>
      </c>
      <c r="J5" s="9" t="s">
        <v>321</v>
      </c>
      <c r="K5">
        <v>58955</v>
      </c>
    </row>
    <row r="6" spans="1:11" x14ac:dyDescent="0.3">
      <c r="A6" s="8" t="s">
        <v>151</v>
      </c>
      <c r="B6">
        <v>4400</v>
      </c>
      <c r="D6" s="8" t="s">
        <v>57</v>
      </c>
      <c r="E6">
        <v>8110</v>
      </c>
      <c r="G6" s="9" t="s">
        <v>326</v>
      </c>
      <c r="H6">
        <v>70345</v>
      </c>
      <c r="J6" s="9" t="s">
        <v>326</v>
      </c>
      <c r="K6">
        <v>70345</v>
      </c>
    </row>
    <row r="7" spans="1:11" x14ac:dyDescent="0.3">
      <c r="A7" s="8" t="s">
        <v>37</v>
      </c>
      <c r="B7">
        <v>16900</v>
      </c>
      <c r="D7" s="8" t="s">
        <v>48</v>
      </c>
      <c r="E7">
        <v>20920</v>
      </c>
      <c r="G7" s="9" t="s">
        <v>322</v>
      </c>
      <c r="H7">
        <v>2700</v>
      </c>
      <c r="J7" s="9" t="s">
        <v>322</v>
      </c>
      <c r="K7">
        <v>2700</v>
      </c>
    </row>
    <row r="8" spans="1:11" x14ac:dyDescent="0.3">
      <c r="A8" s="8" t="s">
        <v>27</v>
      </c>
      <c r="B8">
        <v>55840</v>
      </c>
      <c r="D8" s="8" t="s">
        <v>61</v>
      </c>
      <c r="E8">
        <v>12840</v>
      </c>
      <c r="G8" s="9" t="s">
        <v>323</v>
      </c>
      <c r="H8">
        <v>6840</v>
      </c>
      <c r="J8" s="9" t="s">
        <v>323</v>
      </c>
      <c r="K8">
        <v>6840</v>
      </c>
    </row>
    <row r="9" spans="1:11" x14ac:dyDescent="0.3">
      <c r="A9" s="8" t="s">
        <v>102</v>
      </c>
      <c r="B9">
        <v>9450</v>
      </c>
      <c r="D9" s="8" t="s">
        <v>18</v>
      </c>
      <c r="E9">
        <v>98550</v>
      </c>
      <c r="G9" s="10">
        <v>45113</v>
      </c>
      <c r="H9">
        <v>1500</v>
      </c>
      <c r="J9" s="9" t="s">
        <v>324</v>
      </c>
      <c r="K9">
        <v>1170</v>
      </c>
    </row>
    <row r="10" spans="1:11" x14ac:dyDescent="0.3">
      <c r="A10" s="8" t="s">
        <v>59</v>
      </c>
      <c r="B10">
        <v>20370</v>
      </c>
      <c r="D10" s="8" t="s">
        <v>54</v>
      </c>
      <c r="E10">
        <v>3250</v>
      </c>
      <c r="G10" s="10">
        <v>45117</v>
      </c>
      <c r="H10">
        <v>5340</v>
      </c>
      <c r="J10" s="9" t="s">
        <v>325</v>
      </c>
      <c r="K10">
        <v>1080</v>
      </c>
    </row>
    <row r="11" spans="1:11" x14ac:dyDescent="0.3">
      <c r="A11" s="8" t="s">
        <v>90</v>
      </c>
      <c r="B11">
        <v>7410</v>
      </c>
      <c r="D11" s="8" t="s">
        <v>76</v>
      </c>
      <c r="E11">
        <v>34100</v>
      </c>
      <c r="G11" s="9" t="s">
        <v>324</v>
      </c>
      <c r="H11">
        <v>1170</v>
      </c>
      <c r="J11" s="8" t="s">
        <v>320</v>
      </c>
      <c r="K11">
        <v>141090</v>
      </c>
    </row>
    <row r="12" spans="1:11" x14ac:dyDescent="0.3">
      <c r="A12" s="8" t="s">
        <v>41</v>
      </c>
      <c r="B12">
        <v>19830</v>
      </c>
      <c r="D12" s="8" t="s">
        <v>85</v>
      </c>
      <c r="E12">
        <v>16500</v>
      </c>
      <c r="G12" s="10">
        <v>45153</v>
      </c>
      <c r="H12">
        <v>1170</v>
      </c>
    </row>
    <row r="13" spans="1:11" x14ac:dyDescent="0.3">
      <c r="A13" s="8" t="s">
        <v>130</v>
      </c>
      <c r="B13">
        <v>750</v>
      </c>
      <c r="D13" s="8" t="s">
        <v>72</v>
      </c>
      <c r="E13">
        <v>6465</v>
      </c>
      <c r="G13" s="9" t="s">
        <v>325</v>
      </c>
      <c r="H13">
        <v>1080</v>
      </c>
    </row>
    <row r="14" spans="1:11" x14ac:dyDescent="0.3">
      <c r="A14" s="8" t="s">
        <v>11</v>
      </c>
      <c r="B14">
        <v>40180</v>
      </c>
      <c r="D14" s="8" t="s">
        <v>66</v>
      </c>
      <c r="E14">
        <v>23650</v>
      </c>
      <c r="G14" s="10">
        <v>45189</v>
      </c>
      <c r="H14">
        <v>1080</v>
      </c>
    </row>
    <row r="15" spans="1:11" x14ac:dyDescent="0.3">
      <c r="A15" s="8" t="s">
        <v>22</v>
      </c>
      <c r="B15">
        <v>13470</v>
      </c>
      <c r="D15" s="8" t="s">
        <v>47</v>
      </c>
      <c r="E15">
        <v>70050</v>
      </c>
      <c r="G15" s="8" t="s">
        <v>320</v>
      </c>
      <c r="H15">
        <v>141090</v>
      </c>
    </row>
    <row r="16" spans="1:11" x14ac:dyDescent="0.3">
      <c r="A16" s="8" t="s">
        <v>110</v>
      </c>
      <c r="B16">
        <v>10800</v>
      </c>
      <c r="D16" s="8" t="s">
        <v>82</v>
      </c>
      <c r="E16">
        <v>2350</v>
      </c>
    </row>
    <row r="17" spans="1:5" x14ac:dyDescent="0.3">
      <c r="A17" s="8" t="s">
        <v>56</v>
      </c>
      <c r="B17">
        <v>2280</v>
      </c>
      <c r="D17" s="8" t="s">
        <v>320</v>
      </c>
      <c r="E17">
        <v>320555</v>
      </c>
    </row>
    <row r="18" spans="1:5" x14ac:dyDescent="0.3">
      <c r="A18" s="8" t="s">
        <v>33</v>
      </c>
      <c r="B18">
        <v>16475</v>
      </c>
    </row>
    <row r="19" spans="1:5" x14ac:dyDescent="0.3">
      <c r="A19" s="8" t="s">
        <v>17</v>
      </c>
      <c r="B19">
        <v>23150</v>
      </c>
    </row>
    <row r="20" spans="1:5" x14ac:dyDescent="0.3">
      <c r="A20" s="8" t="s">
        <v>139</v>
      </c>
      <c r="B20">
        <v>1550</v>
      </c>
    </row>
    <row r="21" spans="1:5" x14ac:dyDescent="0.3">
      <c r="A21" s="8" t="s">
        <v>75</v>
      </c>
      <c r="B21">
        <v>16150</v>
      </c>
    </row>
    <row r="22" spans="1:5" x14ac:dyDescent="0.3">
      <c r="A22" s="8" t="s">
        <v>71</v>
      </c>
      <c r="B22">
        <v>2050</v>
      </c>
    </row>
    <row r="23" spans="1:5" x14ac:dyDescent="0.3">
      <c r="A23" s="8" t="s">
        <v>115</v>
      </c>
      <c r="B23">
        <v>16600</v>
      </c>
    </row>
    <row r="24" spans="1:5" x14ac:dyDescent="0.3">
      <c r="A24" s="8" t="s">
        <v>105</v>
      </c>
      <c r="B24">
        <v>14300</v>
      </c>
    </row>
    <row r="25" spans="1:5" x14ac:dyDescent="0.3">
      <c r="A25" s="8" t="s">
        <v>39</v>
      </c>
      <c r="B25">
        <v>4750</v>
      </c>
    </row>
    <row r="26" spans="1:5" x14ac:dyDescent="0.3">
      <c r="A26" s="8" t="s">
        <v>79</v>
      </c>
      <c r="B26">
        <v>1500</v>
      </c>
    </row>
    <row r="27" spans="1:5" x14ac:dyDescent="0.3">
      <c r="A27" s="8" t="s">
        <v>97</v>
      </c>
      <c r="B27">
        <v>3275</v>
      </c>
    </row>
    <row r="28" spans="1:5" x14ac:dyDescent="0.3">
      <c r="A28" s="8" t="s">
        <v>320</v>
      </c>
      <c r="B28">
        <v>320555</v>
      </c>
    </row>
  </sheetData>
  <mergeCells count="4">
    <mergeCell ref="A1:B2"/>
    <mergeCell ref="D1:E2"/>
    <mergeCell ref="G1:H2"/>
    <mergeCell ref="J1:K2"/>
  </mergeCells>
  <phoneticPr fontId="6" type="noConversion"/>
  <pageMargins left="0.7" right="0.7" top="0.75" bottom="0.75" header="0.3" footer="0.3"/>
  <drawing r:id="rId5"/>
  <extLst>
    <ext xmlns:x15="http://schemas.microsoft.com/office/spreadsheetml/2010/11/main" uri="{7E03D99C-DC04-49d9-9315-930204A7B6E9}">
      <x15:timelineRefs>
        <x15:timelineRef r:id="rId6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D1A8-A6C2-4D6E-8F94-F219F76B3940}">
  <dimension ref="D4:U39"/>
  <sheetViews>
    <sheetView topLeftCell="A22" zoomScale="69" zoomScaleNormal="55" workbookViewId="0">
      <selection activeCell="L41" sqref="L41"/>
    </sheetView>
  </sheetViews>
  <sheetFormatPr baseColWidth="10" defaultRowHeight="14.4" x14ac:dyDescent="0.3"/>
  <cols>
    <col min="15" max="15" width="29" bestFit="1" customWidth="1"/>
    <col min="16" max="16" width="11.6640625" bestFit="1" customWidth="1"/>
  </cols>
  <sheetData>
    <row r="4" spans="4:21" x14ac:dyDescent="0.3">
      <c r="D4" s="13" t="s">
        <v>334</v>
      </c>
      <c r="E4" s="12"/>
      <c r="F4" s="12"/>
      <c r="G4" s="12"/>
      <c r="H4" s="12"/>
      <c r="I4" s="12"/>
      <c r="J4" s="12"/>
      <c r="K4" s="12"/>
      <c r="L4" s="12"/>
      <c r="M4" s="12"/>
      <c r="Q4" s="13" t="s">
        <v>335</v>
      </c>
      <c r="R4" s="12"/>
      <c r="S4" s="12"/>
      <c r="T4" s="12"/>
      <c r="U4" s="12"/>
    </row>
    <row r="5" spans="4:21" x14ac:dyDescent="0.3">
      <c r="D5" s="12"/>
      <c r="E5" s="12"/>
      <c r="F5" s="12"/>
      <c r="G5" s="12"/>
      <c r="H5" s="12"/>
      <c r="I5" s="12"/>
      <c r="J5" s="12"/>
      <c r="K5" s="12"/>
      <c r="L5" s="12"/>
      <c r="M5" s="12"/>
      <c r="Q5" s="12"/>
      <c r="R5" s="12"/>
      <c r="S5" s="12"/>
      <c r="T5" s="12"/>
      <c r="U5" s="12"/>
    </row>
    <row r="6" spans="4:21" x14ac:dyDescent="0.3">
      <c r="D6" s="12"/>
      <c r="E6" s="12"/>
      <c r="F6" s="12"/>
      <c r="G6" s="12"/>
      <c r="H6" s="12"/>
      <c r="I6" s="12"/>
      <c r="J6" s="12"/>
      <c r="K6" s="12"/>
      <c r="L6" s="12"/>
      <c r="M6" s="12"/>
      <c r="Q6" s="12"/>
      <c r="R6" s="12"/>
      <c r="S6" s="12"/>
      <c r="T6" s="12"/>
      <c r="U6" s="12"/>
    </row>
    <row r="7" spans="4:21" x14ac:dyDescent="0.3">
      <c r="D7" s="12"/>
      <c r="E7" s="12"/>
      <c r="F7" s="12"/>
      <c r="G7" s="12"/>
      <c r="H7" s="12"/>
      <c r="I7" s="12"/>
      <c r="J7" s="12"/>
      <c r="K7" s="12"/>
      <c r="L7" s="12"/>
      <c r="M7" s="12"/>
    </row>
    <row r="39" ht="14.4" customHeight="1" x14ac:dyDescent="0.3"/>
  </sheetData>
  <mergeCells count="2">
    <mergeCell ref="Q4:U6"/>
    <mergeCell ref="D4:M7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E3DB-D366-4A30-8731-37C0D9BB76EA}">
  <dimension ref="A3:B11"/>
  <sheetViews>
    <sheetView workbookViewId="0">
      <selection activeCell="A3" sqref="A3:B14"/>
    </sheetView>
  </sheetViews>
  <sheetFormatPr baseColWidth="10" defaultRowHeight="14.4" x14ac:dyDescent="0.3"/>
  <cols>
    <col min="1" max="1" width="16.5546875" bestFit="1" customWidth="1"/>
    <col min="2" max="2" width="19.33203125" bestFit="1" customWidth="1"/>
  </cols>
  <sheetData>
    <row r="3" spans="1:2" x14ac:dyDescent="0.3">
      <c r="A3" s="7" t="s">
        <v>319</v>
      </c>
      <c r="B3" t="s">
        <v>327</v>
      </c>
    </row>
    <row r="4" spans="1:2" x14ac:dyDescent="0.3">
      <c r="A4" s="8" t="s">
        <v>328</v>
      </c>
      <c r="B4">
        <v>141090</v>
      </c>
    </row>
    <row r="5" spans="1:2" x14ac:dyDescent="0.3">
      <c r="A5" s="9" t="s">
        <v>321</v>
      </c>
      <c r="B5">
        <v>58955</v>
      </c>
    </row>
    <row r="6" spans="1:2" x14ac:dyDescent="0.3">
      <c r="A6" s="9" t="s">
        <v>326</v>
      </c>
      <c r="B6">
        <v>70345</v>
      </c>
    </row>
    <row r="7" spans="1:2" x14ac:dyDescent="0.3">
      <c r="A7" s="9" t="s">
        <v>322</v>
      </c>
      <c r="B7">
        <v>2700</v>
      </c>
    </row>
    <row r="8" spans="1:2" x14ac:dyDescent="0.3">
      <c r="A8" s="9" t="s">
        <v>323</v>
      </c>
      <c r="B8">
        <v>6840</v>
      </c>
    </row>
    <row r="9" spans="1:2" x14ac:dyDescent="0.3">
      <c r="A9" s="9" t="s">
        <v>324</v>
      </c>
      <c r="B9">
        <v>1170</v>
      </c>
    </row>
    <row r="10" spans="1:2" x14ac:dyDescent="0.3">
      <c r="A10" s="9" t="s">
        <v>325</v>
      </c>
      <c r="B10">
        <v>1080</v>
      </c>
    </row>
    <row r="11" spans="1:2" x14ac:dyDescent="0.3">
      <c r="A11" s="8" t="s">
        <v>320</v>
      </c>
      <c r="B11">
        <v>141090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TblClientes</vt:lpstr>
      <vt:lpstr>TblVentas</vt:lpstr>
      <vt:lpstr>Analisis CRM</vt:lpstr>
      <vt:lpstr>Dashboard</vt:lpstr>
      <vt:lpstr>Analisis Predictivo</vt:lpstr>
      <vt:lpstr>TblClientes</vt:lpstr>
      <vt:lpstr>TblVentas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BRENES LEIVA</dc:creator>
  <cp:lastModifiedBy>KEVIN BRENES LEIVA</cp:lastModifiedBy>
  <dcterms:created xsi:type="dcterms:W3CDTF">2025-11-04T20:44:07Z</dcterms:created>
  <dcterms:modified xsi:type="dcterms:W3CDTF">2025-11-12T15:52:53Z</dcterms:modified>
</cp:coreProperties>
</file>